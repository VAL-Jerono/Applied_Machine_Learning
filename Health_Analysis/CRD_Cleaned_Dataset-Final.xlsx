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irake-my.sharepoint.com/personal/ikinya_ira_go_ke/Documents/Desktop/PhD HCM/"/>
    </mc:Choice>
  </mc:AlternateContent>
  <xr:revisionPtr revIDLastSave="0" documentId="8_{88F0BC52-BEB1-41B2-86C2-DF02D2F1A9FE}" xr6:coauthVersionLast="47" xr6:coauthVersionMax="47" xr10:uidLastSave="{00000000-0000-0000-0000-000000000000}"/>
  <bookViews>
    <workbookView xWindow="-110" yWindow="-110" windowWidth="19420" windowHeight="10300" tabRatio="500" activeTab="6" xr2:uid="{00000000-000D-0000-FFFF-FFFF00000000}"/>
  </bookViews>
  <sheets>
    <sheet name="Facility" sheetId="2" r:id="rId1"/>
    <sheet name="Staff" sheetId="3" r:id="rId2"/>
    <sheet name="Equipment" sheetId="4" r:id="rId3"/>
    <sheet name="Consumables" sheetId="5" r:id="rId4"/>
    <sheet name="Space" sheetId="6" r:id="rId5"/>
    <sheet name="Overheads" sheetId="7" r:id="rId6"/>
    <sheet name="Training" sheetId="8" r:id="rId7"/>
    <sheet name="Observations" sheetId="9" r:id="rId8"/>
    <sheet name="CostSummary" sheetId="10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K4" i="10" l="1"/>
  <c r="J4" i="10"/>
  <c r="I4" i="10"/>
  <c r="K3" i="10"/>
  <c r="J3" i="10"/>
  <c r="I3" i="10"/>
  <c r="K2" i="10"/>
  <c r="K5" i="10" s="1"/>
  <c r="J2" i="10"/>
  <c r="J5" i="10" s="1"/>
  <c r="I2" i="10"/>
  <c r="I5" i="10" s="1"/>
  <c r="H19" i="8"/>
  <c r="F19" i="8"/>
  <c r="H18" i="8"/>
  <c r="F18" i="8"/>
  <c r="H17" i="8"/>
  <c r="F17" i="8"/>
  <c r="F16" i="8"/>
  <c r="H16" i="8" s="1"/>
  <c r="H15" i="8"/>
  <c r="F15" i="8"/>
  <c r="H14" i="8"/>
  <c r="F14" i="8"/>
  <c r="F13" i="8"/>
  <c r="H13" i="8" s="1"/>
  <c r="H12" i="8"/>
  <c r="F12" i="8"/>
  <c r="H11" i="8"/>
  <c r="F11" i="8"/>
  <c r="H10" i="8"/>
  <c r="F10" i="8"/>
  <c r="H9" i="8"/>
  <c r="F9" i="8"/>
  <c r="F8" i="8"/>
  <c r="H8" i="8" s="1"/>
  <c r="G3" i="10" s="1"/>
  <c r="H7" i="8"/>
  <c r="F7" i="8"/>
  <c r="H6" i="8"/>
  <c r="F6" i="8"/>
  <c r="F5" i="8"/>
  <c r="H5" i="8" s="1"/>
  <c r="G2" i="10" s="1"/>
  <c r="H4" i="8"/>
  <c r="F4" i="8"/>
  <c r="H3" i="8"/>
  <c r="F3" i="8"/>
  <c r="H2" i="8"/>
  <c r="F2" i="8"/>
  <c r="E22" i="7"/>
  <c r="F22" i="7" s="1"/>
  <c r="E21" i="7"/>
  <c r="F21" i="7" s="1"/>
  <c r="E20" i="7"/>
  <c r="F20" i="7" s="1"/>
  <c r="E19" i="7"/>
  <c r="F19" i="7" s="1"/>
  <c r="E18" i="7"/>
  <c r="F18" i="7" s="1"/>
  <c r="E17" i="7"/>
  <c r="F17" i="7" s="1"/>
  <c r="E16" i="7"/>
  <c r="F16" i="7" s="1"/>
  <c r="E15" i="7"/>
  <c r="F15" i="7" s="1"/>
  <c r="E14" i="7"/>
  <c r="F14" i="7" s="1"/>
  <c r="E13" i="7"/>
  <c r="F13" i="7" s="1"/>
  <c r="E12" i="7"/>
  <c r="F12" i="7" s="1"/>
  <c r="E11" i="7"/>
  <c r="F11" i="7" s="1"/>
  <c r="E10" i="7"/>
  <c r="F10" i="7" s="1"/>
  <c r="E9" i="7"/>
  <c r="F9" i="7" s="1"/>
  <c r="E8" i="7"/>
  <c r="F8" i="7" s="1"/>
  <c r="E7" i="7"/>
  <c r="F7" i="7" s="1"/>
  <c r="E6" i="7"/>
  <c r="F6" i="7" s="1"/>
  <c r="E5" i="7"/>
  <c r="F5" i="7" s="1"/>
  <c r="E4" i="7"/>
  <c r="F4" i="7" s="1"/>
  <c r="E3" i="7"/>
  <c r="F3" i="7" s="1"/>
  <c r="E2" i="7"/>
  <c r="F2" i="7" s="1"/>
  <c r="F19" i="6"/>
  <c r="F18" i="6"/>
  <c r="F17" i="6"/>
  <c r="F16" i="6"/>
  <c r="F15" i="6"/>
  <c r="F14" i="6"/>
  <c r="E4" i="10" s="1"/>
  <c r="F13" i="6"/>
  <c r="F12" i="6"/>
  <c r="F11" i="6"/>
  <c r="F10" i="6"/>
  <c r="F9" i="6"/>
  <c r="F8" i="6"/>
  <c r="E3" i="10" s="1"/>
  <c r="F7" i="6"/>
  <c r="F6" i="6"/>
  <c r="F5" i="6"/>
  <c r="F4" i="6"/>
  <c r="F3" i="6"/>
  <c r="F2" i="6"/>
  <c r="H25" i="5"/>
  <c r="H24" i="5"/>
  <c r="H23" i="5"/>
  <c r="H22" i="5"/>
  <c r="H21" i="5"/>
  <c r="H20" i="5"/>
  <c r="H19" i="5"/>
  <c r="H18" i="5"/>
  <c r="D4" i="10" s="1"/>
  <c r="H17" i="5"/>
  <c r="H16" i="5"/>
  <c r="H15" i="5"/>
  <c r="H14" i="5"/>
  <c r="H13" i="5"/>
  <c r="H12" i="5"/>
  <c r="H11" i="5"/>
  <c r="H10" i="5"/>
  <c r="D3" i="10" s="1"/>
  <c r="H9" i="5"/>
  <c r="H8" i="5"/>
  <c r="H7" i="5"/>
  <c r="H6" i="5"/>
  <c r="H5" i="5"/>
  <c r="H4" i="5"/>
  <c r="H3" i="5"/>
  <c r="H2" i="5"/>
  <c r="I19" i="4"/>
  <c r="J19" i="4" s="1"/>
  <c r="I18" i="4"/>
  <c r="J18" i="4" s="1"/>
  <c r="C4" i="10" s="1"/>
  <c r="I17" i="4"/>
  <c r="J17" i="4" s="1"/>
  <c r="J16" i="4"/>
  <c r="I16" i="4"/>
  <c r="I15" i="4"/>
  <c r="J15" i="4" s="1"/>
  <c r="I14" i="4"/>
  <c r="J14" i="4" s="1"/>
  <c r="I13" i="4"/>
  <c r="J13" i="4" s="1"/>
  <c r="I12" i="4"/>
  <c r="J12" i="4" s="1"/>
  <c r="I11" i="4"/>
  <c r="J11" i="4" s="1"/>
  <c r="J10" i="4"/>
  <c r="I10" i="4"/>
  <c r="I9" i="4"/>
  <c r="J9" i="4" s="1"/>
  <c r="I8" i="4"/>
  <c r="J8" i="4" s="1"/>
  <c r="I7" i="4"/>
  <c r="J7" i="4" s="1"/>
  <c r="I6" i="4"/>
  <c r="J6" i="4" s="1"/>
  <c r="I5" i="4"/>
  <c r="J5" i="4" s="1"/>
  <c r="I4" i="4"/>
  <c r="J4" i="4" s="1"/>
  <c r="I3" i="4"/>
  <c r="J3" i="4" s="1"/>
  <c r="J2" i="4"/>
  <c r="I2" i="4"/>
  <c r="J22" i="3"/>
  <c r="J21" i="3"/>
  <c r="J20" i="3"/>
  <c r="J19" i="3"/>
  <c r="J18" i="3"/>
  <c r="J17" i="3"/>
  <c r="J16" i="3"/>
  <c r="B4" i="10" s="1"/>
  <c r="J15" i="3"/>
  <c r="J14" i="3"/>
  <c r="J13" i="3"/>
  <c r="J12" i="3"/>
  <c r="J11" i="3"/>
  <c r="J10" i="3"/>
  <c r="J9" i="3"/>
  <c r="B3" i="10" s="1"/>
  <c r="J8" i="3"/>
  <c r="J7" i="3"/>
  <c r="J6" i="3"/>
  <c r="J5" i="3"/>
  <c r="J4" i="3"/>
  <c r="J3" i="3"/>
  <c r="J2" i="3"/>
  <c r="B2" i="10" s="1"/>
  <c r="E2" i="10" l="1"/>
  <c r="E5" i="10" s="1"/>
  <c r="D2" i="10"/>
  <c r="D5" i="10" s="1"/>
  <c r="C3" i="10"/>
  <c r="F4" i="10"/>
  <c r="F3" i="10"/>
  <c r="B5" i="10"/>
  <c r="C2" i="10"/>
  <c r="F2" i="10"/>
  <c r="G4" i="10"/>
  <c r="C5" i="10" l="1"/>
  <c r="H3" i="10"/>
  <c r="L3" i="10" s="1"/>
  <c r="H4" i="10"/>
  <c r="F5" i="10"/>
  <c r="G5" i="10"/>
  <c r="H2" i="10"/>
  <c r="M3" i="10" l="1"/>
  <c r="N3" i="10"/>
  <c r="N4" i="10"/>
  <c r="L4" i="10"/>
  <c r="M4" i="10"/>
  <c r="H5" i="10"/>
  <c r="N2" i="10"/>
  <c r="M2" i="10"/>
  <c r="L2" i="10"/>
  <c r="N5" i="10" l="1"/>
  <c r="M5" i="10"/>
  <c r="L5" i="10"/>
</calcChain>
</file>

<file path=xl/sharedStrings.xml><?xml version="1.0" encoding="utf-8"?>
<sst xmlns="http://schemas.openxmlformats.org/spreadsheetml/2006/main" count="571" uniqueCount="208">
  <si>
    <t>FacilityName</t>
  </si>
  <si>
    <t>RespondentName</t>
  </si>
  <si>
    <t>JobTitle</t>
  </si>
  <si>
    <t>FacilityLevel</t>
  </si>
  <si>
    <t>CountySubcounty</t>
  </si>
  <si>
    <t>CostingStart</t>
  </si>
  <si>
    <t>CostingEnd</t>
  </si>
  <si>
    <t>CatchmentPop</t>
  </si>
  <si>
    <t>AnnualOPD</t>
  </si>
  <si>
    <t>AnnualTBScreened</t>
  </si>
  <si>
    <t>AnnualPPTB_Eligible</t>
  </si>
  <si>
    <t>AnnualCRDPatients</t>
  </si>
  <si>
    <t>AnnualCXR</t>
  </si>
  <si>
    <t>AnnualSpirometry</t>
  </si>
  <si>
    <t>CRDInTBClinic</t>
  </si>
  <si>
    <t>TotalFacilityM2</t>
  </si>
  <si>
    <t>FormFillMinutes</t>
  </si>
  <si>
    <t>Flag</t>
  </si>
  <si>
    <t>Rhodes Chest Clinic</t>
  </si>
  <si>
    <t>Patrick Maingi</t>
  </si>
  <si>
    <t>Senior chest clinician</t>
  </si>
  <si>
    <t>Level 2</t>
  </si>
  <si>
    <t>Nairobi, Starehe</t>
  </si>
  <si>
    <t>Yes</t>
  </si>
  <si>
    <t>Total floor parsed from "100by 100"=10,000 m2 (may be feet); CXR 4000 &gt; TB screened 2000 and spirometry 1500 &gt; CRD patients 255 - volumes inconsistent</t>
  </si>
  <si>
    <t>Riruta Health Centre</t>
  </si>
  <si>
    <t>Alice Ndwiga</t>
  </si>
  <si>
    <t>Facility Manager</t>
  </si>
  <si>
    <t>Level 3</t>
  </si>
  <si>
    <t>Nairobi, Dagoretti North</t>
  </si>
  <si>
    <t>PPTB-eligible 262 &lt; CRD patients 1545 - funnel inconsistent; verify question interpretation</t>
  </si>
  <si>
    <t>Karen Health Centre</t>
  </si>
  <si>
    <t>Angeline Mang'ati</t>
  </si>
  <si>
    <t>Facility in charge</t>
  </si>
  <si>
    <t>Nairobi, Langata</t>
  </si>
  <si>
    <t>Start date fixed from 2025-01-07 (day/month swap); end date parsed from text; total floor "4 X 3"=12 m2 invalid -&gt; imputed 800 m2 (peer Level 3 proxy)</t>
  </si>
  <si>
    <t>Cadre</t>
  </si>
  <si>
    <t>WhoHandles</t>
  </si>
  <si>
    <t>StaffCount</t>
  </si>
  <si>
    <t>MonthlySalaryKES</t>
  </si>
  <si>
    <t>MonthlyAllowancesKES</t>
  </si>
  <si>
    <t>HoursPerMonth</t>
  </si>
  <si>
    <t>MinutesPerPatient</t>
  </si>
  <si>
    <t>CRDTimePct</t>
  </si>
  <si>
    <t>AnnualCRDStaffCostKES</t>
  </si>
  <si>
    <t>Registration</t>
  </si>
  <si>
    <t>Records Officer</t>
  </si>
  <si>
    <t>Triage</t>
  </si>
  <si>
    <t>Community Health Volunteer, Nurse</t>
  </si>
  <si>
    <t>Salary summed from "triage nurse-100,000,chv-15000"</t>
  </si>
  <si>
    <t>Consultation</t>
  </si>
  <si>
    <t>Clinical Officer, Respiratory Clinician</t>
  </si>
  <si>
    <t>Pct entered as 30 -&gt; 30%</t>
  </si>
  <si>
    <t>Laboratory</t>
  </si>
  <si>
    <t>Laboratory Technologist</t>
  </si>
  <si>
    <t>Pct entered as 20 -&gt; 20%</t>
  </si>
  <si>
    <t>Radiology</t>
  </si>
  <si>
    <t>Radiographer</t>
  </si>
  <si>
    <t>Spirometry</t>
  </si>
  <si>
    <t>Nurse, Clinical Officer</t>
  </si>
  <si>
    <t>Counselling</t>
  </si>
  <si>
    <t>Counsellor</t>
  </si>
  <si>
    <t>Minutes from "3-5 mins" -&gt; 4; allowances blank -&gt; 0</t>
  </si>
  <si>
    <t>Nurse</t>
  </si>
  <si>
    <t>Minutes from "5-8 mins" -&gt; 6.5</t>
  </si>
  <si>
    <t>Clinical Officer</t>
  </si>
  <si>
    <t>Minutes from "10-20 mins" -&gt; 15</t>
  </si>
  <si>
    <t>Count from "0-6" -&gt; 3 (midpoint); minutes from "30min-1hour" -&gt; 45</t>
  </si>
  <si>
    <t>Minutes from "10-15mins" -&gt; 12.5; NOTE facility reports no radiology service and 0 X-rays</t>
  </si>
  <si>
    <t>CRD share 80% is unusually high - verify</t>
  </si>
  <si>
    <t>Allowances "N/a" -&gt; 0; minutes from "20-30mins" -&gt; 25</t>
  </si>
  <si>
    <t>Salary summed from "NURSE- 90,000, CHV- 15,000"; minutes cell held date 2026-05-07 = "5-7" entered -&gt; 6</t>
  </si>
  <si>
    <t>Salary summed from "Nurse- 90,000, C.O- 90,000"</t>
  </si>
  <si>
    <t>Item</t>
  </si>
  <si>
    <t>Stage</t>
  </si>
  <si>
    <t>Quantity</t>
  </si>
  <si>
    <t>ReplacementValueKES</t>
  </si>
  <si>
    <t>AnnualMaintenanceKES</t>
  </si>
  <si>
    <t>CRDUsePct</t>
  </si>
  <si>
    <t>UsefulLifeYears</t>
  </si>
  <si>
    <t>AnnualizedValuePerUnitKES</t>
  </si>
  <si>
    <t>AllocatedAnnualCostKES</t>
  </si>
  <si>
    <t>Spirometer</t>
  </si>
  <si>
    <t>Calibration syringe</t>
  </si>
  <si>
    <t>Not owned / all zeros</t>
  </si>
  <si>
    <t>Laptop/tablet for spirometry</t>
  </si>
  <si>
    <t>Pulse oximeter</t>
  </si>
  <si>
    <t>Chest X-ray machine</t>
  </si>
  <si>
    <t>Value parsed from "6million"</t>
  </si>
  <si>
    <t>GeneXpert machine</t>
  </si>
  <si>
    <t>Value "4million", maintenance "1million" parsed</t>
  </si>
  <si>
    <t>Replacement value and maintenance "N/a" -&gt; 0: SPIROMETER COST MISSING, total understated</t>
  </si>
  <si>
    <t>"N/a" -&gt; 0</t>
  </si>
  <si>
    <t>CRD use entered as 1 -&gt; interpreted 100%, could mean 1%</t>
  </si>
  <si>
    <t>CRD use entered as 100</t>
  </si>
  <si>
    <t>Facility reports no radiology service and 0 X-rays but lists this machine - verify</t>
  </si>
  <si>
    <t>Replacement value 5,000 KES implausibly low for a spirometer; CRD use entered as 1 -&gt; interpreted 100%</t>
  </si>
  <si>
    <t>Quantity raw value 30000 = paste error -&gt; set to 1; CRD use entered as 1 -&gt; 100%</t>
  </si>
  <si>
    <t>Form says radiology not carried out yet reports 205 X-rays and this machine - verify</t>
  </si>
  <si>
    <t>Not owned</t>
  </si>
  <si>
    <t>UnitPriceKES</t>
  </si>
  <si>
    <t>QtyPerPatient</t>
  </si>
  <si>
    <t>WastageFactor</t>
  </si>
  <si>
    <t>VolumeDriver</t>
  </si>
  <si>
    <t>AnnualVolume</t>
  </si>
  <si>
    <t>AnnualCostKES</t>
  </si>
  <si>
    <t>Disposable mouthpiece/filter</t>
  </si>
  <si>
    <t>Volume = 1500 spirometry tests, 6x the 255 CRD patients - verify</t>
  </si>
  <si>
    <t>Nose clip</t>
  </si>
  <si>
    <t>Salbutamol dose</t>
  </si>
  <si>
    <t>600 KES per DOSE x 3 doses is likely the price of a whole inhaler (~200 doses) - HIGH impact, verify</t>
  </si>
  <si>
    <t>Disposable gloves (pair)</t>
  </si>
  <si>
    <t>PPTB</t>
  </si>
  <si>
    <t>500 KES/pair and 6 pairs/patient both unusually high - HIGH impact, verify</t>
  </si>
  <si>
    <t>Surgical mask/N95</t>
  </si>
  <si>
    <t>Sputum specimen container</t>
  </si>
  <si>
    <t>Chest X-ray film/printing</t>
  </si>
  <si>
    <t>CXR</t>
  </si>
  <si>
    <t>CXR volume 4000 exceeds TB screening volume - verify</t>
  </si>
  <si>
    <t>Stationery/printing/data</t>
  </si>
  <si>
    <t>CRD</t>
  </si>
  <si>
    <t>Raw entry 200,000 per patient impossible; interpreted as annual total -&gt; 784.31/patient</t>
  </si>
  <si>
    <t>Qty cell held date 2026-01-03 = "1-3" entered -&gt; 2</t>
  </si>
  <si>
    <t>2,500 KES per nose clip unusually high (often reusable) - verify</t>
  </si>
  <si>
    <t>Doses per patient missing -&gt; 0; salbutamol cost excluded</t>
  </si>
  <si>
    <t>500 KES/pair unusually high - verify</t>
  </si>
  <si>
    <t>No radiology; price blank -&gt; 0</t>
  </si>
  <si>
    <t>1,500 KES per nose clip unusually high - verify</t>
  </si>
  <si>
    <t>Room</t>
  </si>
  <si>
    <t>FloorM2</t>
  </si>
  <si>
    <t>Registration/Records</t>
  </si>
  <si>
    <t>Parsed from "10by10"; all Rhodes dimensions may be feet not metres</t>
  </si>
  <si>
    <t>"10 by 10"</t>
  </si>
  <si>
    <t>"10 by 20"</t>
  </si>
  <si>
    <t>Laboratory/Sputum</t>
  </si>
  <si>
    <t>"50 by 40"</t>
  </si>
  <si>
    <t>Radiology/X-ray</t>
  </si>
  <si>
    <t>"50 by 50"</t>
  </si>
  <si>
    <t>All Riruta space costs entered 0 (facility-owned building) - SPACE COST MISSING</t>
  </si>
  <si>
    <t>"3 X 3"; facility total imputed 800 m2</t>
  </si>
  <si>
    <t>Raw m2 value 10000 invalid (paste error) -&gt; imputed 10 m2</t>
  </si>
  <si>
    <t>"4X3"</t>
  </si>
  <si>
    <t>"3X3"</t>
  </si>
  <si>
    <t>"5X4"</t>
  </si>
  <si>
    <t>AllocationBasis</t>
  </si>
  <si>
    <t>AllocationShare</t>
  </si>
  <si>
    <t>Electricity</t>
  </si>
  <si>
    <t>Floor space</t>
  </si>
  <si>
    <t>Water</t>
  </si>
  <si>
    <t>Cleaning</t>
  </si>
  <si>
    <t>Waste management</t>
  </si>
  <si>
    <t>CRD volume</t>
  </si>
  <si>
    <t>Security</t>
  </si>
  <si>
    <t>Administration</t>
  </si>
  <si>
    <t>Staff time</t>
  </si>
  <si>
    <t>ICT/Internet</t>
  </si>
  <si>
    <t>Raw "Borewhole on site" -&gt; 0</t>
  </si>
  <si>
    <t>Parsed from "3,00,000" -&gt; 300,000</t>
  </si>
  <si>
    <t>Activity</t>
  </si>
  <si>
    <t>FundingSource</t>
  </si>
  <si>
    <t>UnitCostKES</t>
  </si>
  <si>
    <t>TotalCostKES</t>
  </si>
  <si>
    <t>AnnualizedCostKES</t>
  </si>
  <si>
    <t>TB-CRD pathway training</t>
  </si>
  <si>
    <t>Research Project</t>
  </si>
  <si>
    <t>Spirometry competency training</t>
  </si>
  <si>
    <t>National Government</t>
  </si>
  <si>
    <t>Mentorship/supervision (10 visits)</t>
  </si>
  <si>
    <t>10 visits reported but total cost 0 - cost missing</t>
  </si>
  <si>
    <t>Job aids, SOPs and registers</t>
  </si>
  <si>
    <t>Equipment installation and calibration</t>
  </si>
  <si>
    <t>Data tools/REDCap setup</t>
  </si>
  <si>
    <t>Donor Funding</t>
  </si>
  <si>
    <t>Cost per person "N/a" -&gt; 0; donor-funded, economic cost MISSING</t>
  </si>
  <si>
    <t>Cost per person "N/a" -&gt; 0; economic cost MISSING</t>
  </si>
  <si>
    <t>Mentorship/supervision (2 visits)</t>
  </si>
  <si>
    <t>Cost blank -&gt; 0</t>
  </si>
  <si>
    <t>Mentorship/supervision (3 visits)</t>
  </si>
  <si>
    <t>PatientsObserved</t>
  </si>
  <si>
    <t>Registration/Triage</t>
  </si>
  <si>
    <t>Clinical Consultation</t>
  </si>
  <si>
    <t>TB Screening</t>
  </si>
  <si>
    <t>Spirometry Pre-Test</t>
  </si>
  <si>
    <t>Spirometry Baseline</t>
  </si>
  <si>
    <t>Spirometry Post-Bronchodilator</t>
  </si>
  <si>
    <t>Diagnosis/Review</t>
  </si>
  <si>
    <t>Counselling/Referral</t>
  </si>
  <si>
    <t>Data Capture</t>
  </si>
  <si>
    <t>"5-10mins" -&gt; 7.5</t>
  </si>
  <si>
    <t>"4-5hours" -&gt; 270 min (likely includes result turnaround, not hands-on time)</t>
  </si>
  <si>
    <t>Cell held date 2026-05-10 = "5-10" entered -&gt; 7.5</t>
  </si>
  <si>
    <t>Cell held date 2026-05-15 = "5-15" entered -&gt; 10</t>
  </si>
  <si>
    <t>"20-30" -&gt; 25</t>
  </si>
  <si>
    <t>"15-25" -&gt; 20</t>
  </si>
  <si>
    <t>StaffKES</t>
  </si>
  <si>
    <t>EquipmentKES</t>
  </si>
  <si>
    <t>ConsumablesKES</t>
  </si>
  <si>
    <t>SpaceKES</t>
  </si>
  <si>
    <t>OverheadsKES</t>
  </si>
  <si>
    <t>TrainingKES</t>
  </si>
  <si>
    <t>TotalAnnualCRDCostKES</t>
  </si>
  <si>
    <t>CostPerCRDPatientKES</t>
  </si>
  <si>
    <t>CostPerPPTBEligibleKES</t>
  </si>
  <si>
    <t>CostPerPresumptiveTBKES</t>
  </si>
  <si>
    <t>ALL FACILITIES</t>
  </si>
  <si>
    <t>AnnualPPTB_Eligible (TB ruled out)</t>
  </si>
  <si>
    <t>AnnualCRDPatients (ssen for CDR diagnosis)</t>
  </si>
  <si>
    <t>TB Positive Cases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</si>
</sst>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\-mmm\-yyyy"/>
    <numFmt numFmtId="165" formatCode="0.0"/>
    <numFmt numFmtId="166" formatCode="0.0%"/>
  </numFmts>
  <fonts count="8" x14ac:knownFonts="1">
    <font>
      <sz val="11"/>
      <color theme="1"/>
      <name val="Calibri"/>
      <family val="2"/>
      <charset val="1"/>
    </font>
    <font>
      <b/>
      <sz val="10"/>
      <name val="Arial"/>
      <family val="2"/>
    </font>
    <font>
      <sz val="10"/>
      <name val="Arial"/>
      <family val="2"/>
    </font>
    <font>
      <b/>
      <sz val="10"/>
      <color rgb="FFFFFFFF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0"/>
      <name val="Arial"/>
      <family val="2"/>
    </font>
    <font>
      <sz val="1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305496"/>
        <bgColor rgb="FF666699"/>
      </patternFill>
    </fill>
    <fill>
      <patternFill patternType="solid">
        <fgColor theme="0"/>
        <bgColor rgb="FF666699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rgb="FFFFFFFF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666699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vertical="center" wrapText="1"/>
    </xf>
    <xf numFmtId="3" fontId="2" fillId="0" borderId="0" xfId="0" applyNumberFormat="1" applyFont="1"/>
    <xf numFmtId="3" fontId="1" fillId="0" borderId="0" xfId="0" applyNumberFormat="1" applyFont="1"/>
    <xf numFmtId="0" fontId="4" fillId="3" borderId="1" xfId="0" applyFont="1" applyFill="1" applyBorder="1" applyAlignment="1">
      <alignment vertical="center" wrapText="1"/>
    </xf>
    <xf numFmtId="0" fontId="0" fillId="0" borderId="1" xfId="0" applyBorder="1"/>
    <xf numFmtId="0" fontId="5" fillId="4" borderId="1" xfId="0" applyFont="1" applyFill="1" applyBorder="1"/>
    <xf numFmtId="164" fontId="5" fillId="4" borderId="1" xfId="0" applyNumberFormat="1" applyFont="1" applyFill="1" applyBorder="1"/>
    <xf numFmtId="3" fontId="5" fillId="4" borderId="1" xfId="0" applyNumberFormat="1" applyFont="1" applyFill="1" applyBorder="1"/>
    <xf numFmtId="0" fontId="6" fillId="3" borderId="1" xfId="0" applyFont="1" applyFill="1" applyBorder="1" applyAlignment="1">
      <alignment vertical="center" wrapText="1"/>
    </xf>
    <xf numFmtId="0" fontId="7" fillId="5" borderId="1" xfId="0" applyFont="1" applyFill="1" applyBorder="1"/>
    <xf numFmtId="3" fontId="7" fillId="5" borderId="1" xfId="0" applyNumberFormat="1" applyFont="1" applyFill="1" applyBorder="1"/>
    <xf numFmtId="165" fontId="7" fillId="5" borderId="1" xfId="0" applyNumberFormat="1" applyFont="1" applyFill="1" applyBorder="1"/>
    <xf numFmtId="166" fontId="7" fillId="5" borderId="1" xfId="0" applyNumberFormat="1" applyFont="1" applyFill="1" applyBorder="1"/>
    <xf numFmtId="0" fontId="7" fillId="4" borderId="1" xfId="0" applyFont="1" applyFill="1" applyBorder="1"/>
    <xf numFmtId="3" fontId="7" fillId="4" borderId="1" xfId="0" applyNumberFormat="1" applyFont="1" applyFill="1" applyBorder="1"/>
    <xf numFmtId="165" fontId="7" fillId="4" borderId="1" xfId="0" applyNumberFormat="1" applyFont="1" applyFill="1" applyBorder="1"/>
    <xf numFmtId="166" fontId="7" fillId="4" borderId="1" xfId="0" applyNumberFormat="1" applyFont="1" applyFill="1" applyBorder="1"/>
    <xf numFmtId="2" fontId="7" fillId="4" borderId="1" xfId="0" applyNumberFormat="1" applyFont="1" applyFill="1" applyBorder="1"/>
    <xf numFmtId="2" fontId="7" fillId="5" borderId="1" xfId="0" applyNumberFormat="1" applyFont="1" applyFill="1" applyBorder="1"/>
    <xf numFmtId="3" fontId="5" fillId="6" borderId="1" xfId="0" applyNumberFormat="1" applyFont="1" applyFill="1" applyBorder="1"/>
    <xf numFmtId="3" fontId="7" fillId="6" borderId="1" xfId="0" applyNumberFormat="1" applyFont="1" applyFill="1" applyBorder="1"/>
    <xf numFmtId="166" fontId="7" fillId="6" borderId="1" xfId="0" applyNumberFormat="1" applyFont="1" applyFill="1" applyBorder="1"/>
    <xf numFmtId="0" fontId="7" fillId="6" borderId="1" xfId="0" applyFont="1" applyFill="1" applyBorder="1"/>
    <xf numFmtId="3" fontId="7" fillId="7" borderId="1" xfId="0" applyNumberFormat="1" applyFont="1" applyFill="1" applyBorder="1"/>
    <xf numFmtId="0" fontId="4" fillId="8" borderId="1" xfId="0" applyFont="1" applyFill="1" applyBorder="1" applyAlignment="1">
      <alignment vertical="center" wrapText="1"/>
    </xf>
    <xf numFmtId="0" fontId="0" fillId="7" borderId="1" xfId="0" applyFill="1" applyBorder="1"/>
    <xf numFmtId="2" fontId="7" fillId="6" borderId="1" xfId="0" applyNumberFormat="1" applyFont="1" applyFill="1" applyBorder="1"/>
    <xf numFmtId="0" fontId="0" fillId="7" borderId="0" xfId="0" applyFill="1"/>
    <xf numFmtId="0" fontId="7" fillId="7" borderId="1" xfId="0" applyFont="1" applyFill="1" applyBorder="1"/>
    <xf numFmtId="2" fontId="7" fillId="7" borderId="1" xfId="0" applyNumberFormat="1" applyFont="1" applyFill="1" applyBorder="1"/>
    <xf numFmtId="3" fontId="2" fillId="6" borderId="1" xfId="0" applyNumberFormat="1" applyFont="1" applyFill="1" applyBorder="1"/>
    <xf numFmtId="0" fontId="6" fillId="8" borderId="1" xfId="0" applyFont="1" applyFill="1" applyBorder="1" applyAlignment="1">
      <alignment vertical="center" wrapText="1"/>
    </xf>
    <xf numFmtId="0" fontId="0" fillId="5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05496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297"/>
  <sheetViews>
    <sheetView topLeftCell="C1" zoomScaleNormal="100" workbookViewId="0">
      <pane ySplit="1" topLeftCell="A2" activePane="bottomLeft" state="frozen"/>
      <selection pane="bottomLeft" activeCell="L2" sqref="L2"/>
    </sheetView>
  </sheetViews>
  <sheetFormatPr defaultColWidth="8.6328125" defaultRowHeight="14.5" x14ac:dyDescent="0.35"/>
  <cols>
    <col min="1" max="1" width="22" style="7" customWidth="1"/>
    <col min="2" max="3" width="18" style="7" customWidth="1"/>
    <col min="4" max="4" width="10" style="7" customWidth="1"/>
    <col min="5" max="5" width="24" style="7" customWidth="1"/>
    <col min="6" max="8" width="12" style="7" customWidth="1"/>
    <col min="9" max="9" width="11" style="7" customWidth="1"/>
    <col min="10" max="10" width="12" style="7" customWidth="1"/>
    <col min="11" max="11" width="12" style="28" customWidth="1"/>
    <col min="12" max="13" width="12" style="7" customWidth="1"/>
    <col min="14" max="14" width="10" style="7" customWidth="1"/>
    <col min="15" max="15" width="12" style="7" customWidth="1"/>
    <col min="16" max="16" width="10" style="7" customWidth="1"/>
    <col min="17" max="17" width="12" style="7" customWidth="1"/>
    <col min="18" max="18" width="10" style="7" customWidth="1"/>
    <col min="19" max="19" width="40" style="7" customWidth="1"/>
    <col min="20" max="16384" width="8.6328125" style="7"/>
  </cols>
  <sheetData>
    <row r="1" spans="1:19" ht="52" x14ac:dyDescent="0.3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27" t="s">
        <v>207</v>
      </c>
      <c r="L1" s="6" t="s">
        <v>205</v>
      </c>
      <c r="M1" s="6" t="s">
        <v>206</v>
      </c>
      <c r="N1" s="6" t="s">
        <v>12</v>
      </c>
      <c r="O1" s="6" t="s">
        <v>13</v>
      </c>
      <c r="P1" s="6" t="s">
        <v>14</v>
      </c>
      <c r="Q1" s="6" t="s">
        <v>15</v>
      </c>
      <c r="R1" s="6" t="s">
        <v>16</v>
      </c>
      <c r="S1" s="6" t="s">
        <v>17</v>
      </c>
    </row>
    <row r="2" spans="1:19" x14ac:dyDescent="0.35">
      <c r="A2" s="8" t="s">
        <v>18</v>
      </c>
      <c r="B2" s="8" t="s">
        <v>19</v>
      </c>
      <c r="C2" s="8" t="s">
        <v>20</v>
      </c>
      <c r="D2" s="8" t="s">
        <v>21</v>
      </c>
      <c r="E2" s="8" t="s">
        <v>22</v>
      </c>
      <c r="F2" s="9">
        <v>45839</v>
      </c>
      <c r="G2" s="9">
        <v>46203</v>
      </c>
      <c r="H2" s="10">
        <v>7000</v>
      </c>
      <c r="I2" s="10">
        <v>6000</v>
      </c>
      <c r="J2" s="10">
        <v>3671</v>
      </c>
      <c r="K2" s="22">
        <v>418</v>
      </c>
      <c r="L2" s="22">
        <v>929</v>
      </c>
      <c r="M2" s="22">
        <v>255</v>
      </c>
      <c r="N2" s="22">
        <v>4000</v>
      </c>
      <c r="O2" s="22">
        <v>563</v>
      </c>
      <c r="P2" s="8" t="s">
        <v>23</v>
      </c>
      <c r="Q2" s="10">
        <v>10000</v>
      </c>
      <c r="R2" s="8">
        <v>90</v>
      </c>
      <c r="S2" s="8" t="s">
        <v>24</v>
      </c>
    </row>
    <row r="3" spans="1:19" x14ac:dyDescent="0.35">
      <c r="A3" s="8" t="s">
        <v>25</v>
      </c>
      <c r="B3" s="8" t="s">
        <v>26</v>
      </c>
      <c r="C3" s="8" t="s">
        <v>27</v>
      </c>
      <c r="D3" s="8" t="s">
        <v>28</v>
      </c>
      <c r="E3" s="8" t="s">
        <v>29</v>
      </c>
      <c r="F3" s="9">
        <v>45839</v>
      </c>
      <c r="G3" s="9">
        <v>46203</v>
      </c>
      <c r="H3" s="10">
        <v>72038</v>
      </c>
      <c r="I3" s="10">
        <v>14741</v>
      </c>
      <c r="J3" s="22">
        <v>11930</v>
      </c>
      <c r="K3" s="22">
        <v>132</v>
      </c>
      <c r="L3" s="22">
        <v>1256</v>
      </c>
      <c r="M3" s="22">
        <v>204</v>
      </c>
      <c r="N3" s="10">
        <v>67</v>
      </c>
      <c r="O3" s="10">
        <v>320</v>
      </c>
      <c r="P3" s="8" t="s">
        <v>23</v>
      </c>
      <c r="Q3" s="10">
        <v>800</v>
      </c>
      <c r="R3" s="8">
        <v>65</v>
      </c>
      <c r="S3" s="8" t="s">
        <v>30</v>
      </c>
    </row>
    <row r="4" spans="1:19" x14ac:dyDescent="0.35">
      <c r="A4" s="8" t="s">
        <v>31</v>
      </c>
      <c r="B4" s="8" t="s">
        <v>32</v>
      </c>
      <c r="C4" s="8" t="s">
        <v>33</v>
      </c>
      <c r="D4" s="8" t="s">
        <v>28</v>
      </c>
      <c r="E4" s="8" t="s">
        <v>34</v>
      </c>
      <c r="F4" s="9">
        <v>45839</v>
      </c>
      <c r="G4" s="9">
        <v>46203</v>
      </c>
      <c r="H4" s="10">
        <v>28587</v>
      </c>
      <c r="I4" s="10">
        <v>11586</v>
      </c>
      <c r="J4" s="10">
        <v>752</v>
      </c>
      <c r="K4" s="22">
        <v>42</v>
      </c>
      <c r="L4" s="10">
        <v>408</v>
      </c>
      <c r="M4" s="10">
        <v>366</v>
      </c>
      <c r="N4" s="10">
        <v>205</v>
      </c>
      <c r="O4" s="10">
        <v>127</v>
      </c>
      <c r="P4" s="8" t="s">
        <v>23</v>
      </c>
      <c r="Q4" s="10">
        <v>800</v>
      </c>
      <c r="R4" s="8">
        <v>45</v>
      </c>
      <c r="S4" s="8" t="s">
        <v>35</v>
      </c>
    </row>
    <row r="5" spans="1:19" x14ac:dyDescent="0.35">
      <c r="K5" s="35"/>
    </row>
    <row r="6" spans="1:19" x14ac:dyDescent="0.35">
      <c r="K6" s="35"/>
    </row>
    <row r="7" spans="1:19" x14ac:dyDescent="0.35">
      <c r="K7" s="35"/>
    </row>
    <row r="8" spans="1:19" x14ac:dyDescent="0.35">
      <c r="K8" s="35"/>
    </row>
    <row r="9" spans="1:19" x14ac:dyDescent="0.35">
      <c r="K9" s="35"/>
    </row>
    <row r="10" spans="1:19" x14ac:dyDescent="0.35">
      <c r="K10" s="35"/>
    </row>
    <row r="11" spans="1:19" x14ac:dyDescent="0.35">
      <c r="K11" s="35"/>
    </row>
    <row r="12" spans="1:19" x14ac:dyDescent="0.35">
      <c r="K12" s="35"/>
    </row>
    <row r="13" spans="1:19" x14ac:dyDescent="0.35">
      <c r="K13" s="35"/>
    </row>
    <row r="14" spans="1:19" x14ac:dyDescent="0.35">
      <c r="K14" s="35"/>
    </row>
    <row r="15" spans="1:19" x14ac:dyDescent="0.35">
      <c r="K15" s="35"/>
    </row>
    <row r="16" spans="1:19" x14ac:dyDescent="0.35">
      <c r="K16" s="35"/>
    </row>
    <row r="17" spans="11:11" x14ac:dyDescent="0.35">
      <c r="K17" s="35"/>
    </row>
    <row r="18" spans="11:11" x14ac:dyDescent="0.35">
      <c r="K18" s="35"/>
    </row>
    <row r="19" spans="11:11" x14ac:dyDescent="0.35">
      <c r="K19" s="35"/>
    </row>
    <row r="20" spans="11:11" x14ac:dyDescent="0.35">
      <c r="K20" s="35"/>
    </row>
    <row r="21" spans="11:11" x14ac:dyDescent="0.35">
      <c r="K21" s="35"/>
    </row>
    <row r="22" spans="11:11" x14ac:dyDescent="0.35">
      <c r="K22" s="35"/>
    </row>
    <row r="23" spans="11:11" x14ac:dyDescent="0.35">
      <c r="K23" s="35"/>
    </row>
    <row r="24" spans="11:11" x14ac:dyDescent="0.35">
      <c r="K24" s="35"/>
    </row>
    <row r="25" spans="11:11" x14ac:dyDescent="0.35">
      <c r="K25" s="35"/>
    </row>
    <row r="26" spans="11:11" x14ac:dyDescent="0.35">
      <c r="K26" s="35"/>
    </row>
    <row r="27" spans="11:11" x14ac:dyDescent="0.35">
      <c r="K27" s="35"/>
    </row>
    <row r="28" spans="11:11" x14ac:dyDescent="0.35">
      <c r="K28" s="35"/>
    </row>
    <row r="29" spans="11:11" x14ac:dyDescent="0.35">
      <c r="K29" s="35"/>
    </row>
    <row r="30" spans="11:11" x14ac:dyDescent="0.35">
      <c r="K30" s="35"/>
    </row>
    <row r="31" spans="11:11" x14ac:dyDescent="0.35">
      <c r="K31" s="35"/>
    </row>
    <row r="32" spans="11:11" x14ac:dyDescent="0.35">
      <c r="K32" s="35"/>
    </row>
    <row r="33" spans="11:11" x14ac:dyDescent="0.35">
      <c r="K33" s="35"/>
    </row>
    <row r="34" spans="11:11" x14ac:dyDescent="0.35">
      <c r="K34" s="35"/>
    </row>
    <row r="35" spans="11:11" x14ac:dyDescent="0.35">
      <c r="K35" s="35"/>
    </row>
    <row r="36" spans="11:11" x14ac:dyDescent="0.35">
      <c r="K36" s="35"/>
    </row>
    <row r="37" spans="11:11" x14ac:dyDescent="0.35">
      <c r="K37" s="35"/>
    </row>
    <row r="38" spans="11:11" x14ac:dyDescent="0.35">
      <c r="K38" s="35"/>
    </row>
    <row r="39" spans="11:11" x14ac:dyDescent="0.35">
      <c r="K39" s="35"/>
    </row>
    <row r="40" spans="11:11" x14ac:dyDescent="0.35">
      <c r="K40" s="35"/>
    </row>
    <row r="41" spans="11:11" x14ac:dyDescent="0.35">
      <c r="K41" s="35"/>
    </row>
    <row r="42" spans="11:11" x14ac:dyDescent="0.35">
      <c r="K42" s="35"/>
    </row>
    <row r="43" spans="11:11" x14ac:dyDescent="0.35">
      <c r="K43" s="35"/>
    </row>
    <row r="44" spans="11:11" x14ac:dyDescent="0.35">
      <c r="K44" s="35"/>
    </row>
    <row r="45" spans="11:11" x14ac:dyDescent="0.35">
      <c r="K45" s="35"/>
    </row>
    <row r="46" spans="11:11" x14ac:dyDescent="0.35">
      <c r="K46" s="35"/>
    </row>
    <row r="47" spans="11:11" x14ac:dyDescent="0.35">
      <c r="K47" s="35"/>
    </row>
    <row r="48" spans="11:11" x14ac:dyDescent="0.35">
      <c r="K48" s="35"/>
    </row>
    <row r="49" spans="11:11" x14ac:dyDescent="0.35">
      <c r="K49" s="35"/>
    </row>
    <row r="50" spans="11:11" x14ac:dyDescent="0.35">
      <c r="K50" s="35"/>
    </row>
    <row r="51" spans="11:11" x14ac:dyDescent="0.35">
      <c r="K51" s="35"/>
    </row>
    <row r="52" spans="11:11" x14ac:dyDescent="0.35">
      <c r="K52" s="35"/>
    </row>
    <row r="53" spans="11:11" x14ac:dyDescent="0.35">
      <c r="K53" s="35"/>
    </row>
    <row r="54" spans="11:11" x14ac:dyDescent="0.35">
      <c r="K54" s="35"/>
    </row>
    <row r="55" spans="11:11" x14ac:dyDescent="0.35">
      <c r="K55" s="35"/>
    </row>
    <row r="56" spans="11:11" x14ac:dyDescent="0.35">
      <c r="K56" s="35"/>
    </row>
    <row r="57" spans="11:11" x14ac:dyDescent="0.35">
      <c r="K57" s="35"/>
    </row>
    <row r="58" spans="11:11" x14ac:dyDescent="0.35">
      <c r="K58" s="35"/>
    </row>
    <row r="59" spans="11:11" x14ac:dyDescent="0.35">
      <c r="K59" s="35"/>
    </row>
    <row r="60" spans="11:11" x14ac:dyDescent="0.35">
      <c r="K60" s="35"/>
    </row>
    <row r="61" spans="11:11" x14ac:dyDescent="0.35">
      <c r="K61" s="35"/>
    </row>
    <row r="62" spans="11:11" x14ac:dyDescent="0.35">
      <c r="K62" s="35"/>
    </row>
    <row r="63" spans="11:11" x14ac:dyDescent="0.35">
      <c r="K63" s="35"/>
    </row>
    <row r="64" spans="11:11" x14ac:dyDescent="0.35">
      <c r="K64" s="35"/>
    </row>
    <row r="65" spans="11:11" x14ac:dyDescent="0.35">
      <c r="K65" s="35"/>
    </row>
    <row r="66" spans="11:11" x14ac:dyDescent="0.35">
      <c r="K66" s="35"/>
    </row>
    <row r="67" spans="11:11" x14ac:dyDescent="0.35">
      <c r="K67" s="35"/>
    </row>
    <row r="68" spans="11:11" x14ac:dyDescent="0.35">
      <c r="K68" s="35"/>
    </row>
    <row r="69" spans="11:11" x14ac:dyDescent="0.35">
      <c r="K69" s="35"/>
    </row>
    <row r="70" spans="11:11" x14ac:dyDescent="0.35">
      <c r="K70" s="35"/>
    </row>
    <row r="71" spans="11:11" x14ac:dyDescent="0.35">
      <c r="K71" s="35"/>
    </row>
    <row r="72" spans="11:11" x14ac:dyDescent="0.35">
      <c r="K72" s="35"/>
    </row>
    <row r="73" spans="11:11" x14ac:dyDescent="0.35">
      <c r="K73" s="35"/>
    </row>
    <row r="74" spans="11:11" x14ac:dyDescent="0.35">
      <c r="K74" s="35"/>
    </row>
    <row r="75" spans="11:11" x14ac:dyDescent="0.35">
      <c r="K75" s="35"/>
    </row>
    <row r="76" spans="11:11" x14ac:dyDescent="0.35">
      <c r="K76" s="35"/>
    </row>
    <row r="77" spans="11:11" x14ac:dyDescent="0.35">
      <c r="K77" s="35"/>
    </row>
    <row r="78" spans="11:11" x14ac:dyDescent="0.35">
      <c r="K78" s="35"/>
    </row>
    <row r="79" spans="11:11" x14ac:dyDescent="0.35">
      <c r="K79" s="35"/>
    </row>
    <row r="80" spans="11:11" x14ac:dyDescent="0.35">
      <c r="K80" s="35"/>
    </row>
    <row r="81" spans="11:11" x14ac:dyDescent="0.35">
      <c r="K81" s="35"/>
    </row>
    <row r="82" spans="11:11" x14ac:dyDescent="0.35">
      <c r="K82" s="35"/>
    </row>
    <row r="83" spans="11:11" x14ac:dyDescent="0.35">
      <c r="K83" s="35"/>
    </row>
    <row r="84" spans="11:11" x14ac:dyDescent="0.35">
      <c r="K84" s="35"/>
    </row>
    <row r="85" spans="11:11" x14ac:dyDescent="0.35">
      <c r="K85" s="35"/>
    </row>
    <row r="86" spans="11:11" x14ac:dyDescent="0.35">
      <c r="K86" s="35"/>
    </row>
    <row r="87" spans="11:11" x14ac:dyDescent="0.35">
      <c r="K87" s="35"/>
    </row>
    <row r="88" spans="11:11" x14ac:dyDescent="0.35">
      <c r="K88" s="35"/>
    </row>
    <row r="89" spans="11:11" x14ac:dyDescent="0.35">
      <c r="K89" s="35"/>
    </row>
    <row r="90" spans="11:11" x14ac:dyDescent="0.35">
      <c r="K90" s="35"/>
    </row>
    <row r="91" spans="11:11" x14ac:dyDescent="0.35">
      <c r="K91" s="35"/>
    </row>
    <row r="92" spans="11:11" x14ac:dyDescent="0.35">
      <c r="K92" s="35"/>
    </row>
    <row r="93" spans="11:11" x14ac:dyDescent="0.35">
      <c r="K93" s="35"/>
    </row>
    <row r="94" spans="11:11" x14ac:dyDescent="0.35">
      <c r="K94" s="35"/>
    </row>
    <row r="95" spans="11:11" x14ac:dyDescent="0.35">
      <c r="K95" s="35"/>
    </row>
    <row r="96" spans="11:11" x14ac:dyDescent="0.35">
      <c r="K96" s="35"/>
    </row>
    <row r="97" spans="11:11" x14ac:dyDescent="0.35">
      <c r="K97" s="35"/>
    </row>
    <row r="98" spans="11:11" x14ac:dyDescent="0.35">
      <c r="K98" s="35"/>
    </row>
    <row r="99" spans="11:11" x14ac:dyDescent="0.35">
      <c r="K99" s="35"/>
    </row>
    <row r="100" spans="11:11" x14ac:dyDescent="0.35">
      <c r="K100" s="35"/>
    </row>
    <row r="101" spans="11:11" x14ac:dyDescent="0.35">
      <c r="K101" s="35"/>
    </row>
    <row r="102" spans="11:11" x14ac:dyDescent="0.35">
      <c r="K102" s="35"/>
    </row>
    <row r="103" spans="11:11" x14ac:dyDescent="0.35">
      <c r="K103" s="35"/>
    </row>
    <row r="104" spans="11:11" x14ac:dyDescent="0.35">
      <c r="K104" s="35"/>
    </row>
    <row r="105" spans="11:11" x14ac:dyDescent="0.35">
      <c r="K105" s="35"/>
    </row>
    <row r="106" spans="11:11" x14ac:dyDescent="0.35">
      <c r="K106" s="35"/>
    </row>
    <row r="107" spans="11:11" x14ac:dyDescent="0.35">
      <c r="K107" s="35"/>
    </row>
    <row r="108" spans="11:11" x14ac:dyDescent="0.35">
      <c r="K108" s="35"/>
    </row>
    <row r="109" spans="11:11" x14ac:dyDescent="0.35">
      <c r="K109" s="35"/>
    </row>
    <row r="110" spans="11:11" x14ac:dyDescent="0.35">
      <c r="K110" s="35"/>
    </row>
    <row r="111" spans="11:11" x14ac:dyDescent="0.35">
      <c r="K111" s="35"/>
    </row>
    <row r="112" spans="11:11" x14ac:dyDescent="0.35">
      <c r="K112" s="35"/>
    </row>
    <row r="113" spans="11:11" x14ac:dyDescent="0.35">
      <c r="K113" s="35"/>
    </row>
    <row r="114" spans="11:11" x14ac:dyDescent="0.35">
      <c r="K114" s="35"/>
    </row>
    <row r="115" spans="11:11" x14ac:dyDescent="0.35">
      <c r="K115" s="35"/>
    </row>
    <row r="116" spans="11:11" x14ac:dyDescent="0.35">
      <c r="K116" s="35"/>
    </row>
    <row r="117" spans="11:11" x14ac:dyDescent="0.35">
      <c r="K117" s="35"/>
    </row>
    <row r="118" spans="11:11" x14ac:dyDescent="0.35">
      <c r="K118" s="35"/>
    </row>
    <row r="119" spans="11:11" x14ac:dyDescent="0.35">
      <c r="K119" s="35"/>
    </row>
    <row r="120" spans="11:11" x14ac:dyDescent="0.35">
      <c r="K120" s="35"/>
    </row>
    <row r="121" spans="11:11" x14ac:dyDescent="0.35">
      <c r="K121" s="35"/>
    </row>
    <row r="122" spans="11:11" x14ac:dyDescent="0.35">
      <c r="K122" s="35"/>
    </row>
    <row r="123" spans="11:11" x14ac:dyDescent="0.35">
      <c r="K123" s="35"/>
    </row>
    <row r="124" spans="11:11" x14ac:dyDescent="0.35">
      <c r="K124" s="35"/>
    </row>
    <row r="125" spans="11:11" x14ac:dyDescent="0.35">
      <c r="K125" s="35"/>
    </row>
    <row r="126" spans="11:11" x14ac:dyDescent="0.35">
      <c r="K126" s="35"/>
    </row>
    <row r="127" spans="11:11" x14ac:dyDescent="0.35">
      <c r="K127" s="35"/>
    </row>
    <row r="128" spans="11:11" x14ac:dyDescent="0.35">
      <c r="K128" s="35"/>
    </row>
    <row r="129" spans="11:11" x14ac:dyDescent="0.35">
      <c r="K129" s="35"/>
    </row>
    <row r="130" spans="11:11" x14ac:dyDescent="0.35">
      <c r="K130" s="35"/>
    </row>
    <row r="131" spans="11:11" x14ac:dyDescent="0.35">
      <c r="K131" s="35"/>
    </row>
    <row r="132" spans="11:11" x14ac:dyDescent="0.35">
      <c r="K132" s="35"/>
    </row>
    <row r="133" spans="11:11" x14ac:dyDescent="0.35">
      <c r="K133" s="35"/>
    </row>
    <row r="134" spans="11:11" x14ac:dyDescent="0.35">
      <c r="K134" s="35"/>
    </row>
    <row r="135" spans="11:11" x14ac:dyDescent="0.35">
      <c r="K135" s="35"/>
    </row>
    <row r="136" spans="11:11" x14ac:dyDescent="0.35">
      <c r="K136" s="35"/>
    </row>
    <row r="137" spans="11:11" x14ac:dyDescent="0.35">
      <c r="K137" s="35"/>
    </row>
    <row r="138" spans="11:11" x14ac:dyDescent="0.35">
      <c r="K138" s="35"/>
    </row>
    <row r="139" spans="11:11" x14ac:dyDescent="0.35">
      <c r="K139" s="35"/>
    </row>
    <row r="140" spans="11:11" x14ac:dyDescent="0.35">
      <c r="K140" s="35"/>
    </row>
    <row r="141" spans="11:11" x14ac:dyDescent="0.35">
      <c r="K141" s="35"/>
    </row>
    <row r="142" spans="11:11" x14ac:dyDescent="0.35">
      <c r="K142" s="35"/>
    </row>
    <row r="143" spans="11:11" x14ac:dyDescent="0.35">
      <c r="K143" s="35"/>
    </row>
    <row r="144" spans="11:11" x14ac:dyDescent="0.35">
      <c r="K144" s="35"/>
    </row>
    <row r="145" spans="11:11" x14ac:dyDescent="0.35">
      <c r="K145" s="35"/>
    </row>
    <row r="146" spans="11:11" x14ac:dyDescent="0.35">
      <c r="K146" s="35"/>
    </row>
    <row r="147" spans="11:11" x14ac:dyDescent="0.35">
      <c r="K147" s="35"/>
    </row>
    <row r="148" spans="11:11" x14ac:dyDescent="0.35">
      <c r="K148" s="35"/>
    </row>
    <row r="149" spans="11:11" x14ac:dyDescent="0.35">
      <c r="K149" s="35"/>
    </row>
    <row r="150" spans="11:11" x14ac:dyDescent="0.35">
      <c r="K150" s="35"/>
    </row>
    <row r="151" spans="11:11" x14ac:dyDescent="0.35">
      <c r="K151" s="35"/>
    </row>
    <row r="152" spans="11:11" x14ac:dyDescent="0.35">
      <c r="K152" s="35"/>
    </row>
    <row r="153" spans="11:11" x14ac:dyDescent="0.35">
      <c r="K153" s="35"/>
    </row>
    <row r="154" spans="11:11" x14ac:dyDescent="0.35">
      <c r="K154" s="35"/>
    </row>
    <row r="155" spans="11:11" x14ac:dyDescent="0.35">
      <c r="K155" s="35"/>
    </row>
    <row r="156" spans="11:11" x14ac:dyDescent="0.35">
      <c r="K156" s="35"/>
    </row>
    <row r="157" spans="11:11" x14ac:dyDescent="0.35">
      <c r="K157" s="35"/>
    </row>
    <row r="158" spans="11:11" x14ac:dyDescent="0.35">
      <c r="K158" s="35"/>
    </row>
    <row r="159" spans="11:11" x14ac:dyDescent="0.35">
      <c r="K159" s="35"/>
    </row>
    <row r="160" spans="11:11" x14ac:dyDescent="0.35">
      <c r="K160" s="35"/>
    </row>
    <row r="161" spans="11:11" x14ac:dyDescent="0.35">
      <c r="K161" s="35"/>
    </row>
    <row r="162" spans="11:11" x14ac:dyDescent="0.35">
      <c r="K162" s="35"/>
    </row>
    <row r="163" spans="11:11" x14ac:dyDescent="0.35">
      <c r="K163" s="35"/>
    </row>
    <row r="164" spans="11:11" x14ac:dyDescent="0.35">
      <c r="K164" s="35"/>
    </row>
    <row r="165" spans="11:11" x14ac:dyDescent="0.35">
      <c r="K165" s="35"/>
    </row>
    <row r="166" spans="11:11" x14ac:dyDescent="0.35">
      <c r="K166" s="35"/>
    </row>
    <row r="167" spans="11:11" x14ac:dyDescent="0.35">
      <c r="K167" s="35"/>
    </row>
    <row r="168" spans="11:11" x14ac:dyDescent="0.35">
      <c r="K168" s="35"/>
    </row>
    <row r="169" spans="11:11" x14ac:dyDescent="0.35">
      <c r="K169" s="35"/>
    </row>
    <row r="170" spans="11:11" x14ac:dyDescent="0.35">
      <c r="K170" s="35"/>
    </row>
    <row r="171" spans="11:11" x14ac:dyDescent="0.35">
      <c r="K171" s="35"/>
    </row>
    <row r="172" spans="11:11" x14ac:dyDescent="0.35">
      <c r="K172" s="35"/>
    </row>
    <row r="173" spans="11:11" x14ac:dyDescent="0.35">
      <c r="K173" s="35"/>
    </row>
    <row r="174" spans="11:11" x14ac:dyDescent="0.35">
      <c r="K174" s="35"/>
    </row>
    <row r="175" spans="11:11" x14ac:dyDescent="0.35">
      <c r="K175" s="35"/>
    </row>
    <row r="176" spans="11:11" x14ac:dyDescent="0.35">
      <c r="K176" s="35"/>
    </row>
    <row r="177" spans="11:11" x14ac:dyDescent="0.35">
      <c r="K177" s="35"/>
    </row>
    <row r="178" spans="11:11" x14ac:dyDescent="0.35">
      <c r="K178" s="35"/>
    </row>
    <row r="179" spans="11:11" x14ac:dyDescent="0.35">
      <c r="K179" s="35"/>
    </row>
    <row r="180" spans="11:11" x14ac:dyDescent="0.35">
      <c r="K180" s="35"/>
    </row>
    <row r="181" spans="11:11" x14ac:dyDescent="0.35">
      <c r="K181" s="35"/>
    </row>
    <row r="182" spans="11:11" x14ac:dyDescent="0.35">
      <c r="K182" s="35"/>
    </row>
    <row r="183" spans="11:11" x14ac:dyDescent="0.35">
      <c r="K183" s="35"/>
    </row>
    <row r="184" spans="11:11" x14ac:dyDescent="0.35">
      <c r="K184" s="35"/>
    </row>
    <row r="185" spans="11:11" x14ac:dyDescent="0.35">
      <c r="K185" s="35"/>
    </row>
    <row r="186" spans="11:11" x14ac:dyDescent="0.35">
      <c r="K186" s="35"/>
    </row>
    <row r="187" spans="11:11" x14ac:dyDescent="0.35">
      <c r="K187" s="35"/>
    </row>
    <row r="188" spans="11:11" x14ac:dyDescent="0.35">
      <c r="K188" s="35"/>
    </row>
    <row r="189" spans="11:11" x14ac:dyDescent="0.35">
      <c r="K189" s="35"/>
    </row>
    <row r="190" spans="11:11" x14ac:dyDescent="0.35">
      <c r="K190" s="35"/>
    </row>
    <row r="191" spans="11:11" x14ac:dyDescent="0.35">
      <c r="K191" s="35"/>
    </row>
    <row r="192" spans="11:11" x14ac:dyDescent="0.35">
      <c r="K192" s="35"/>
    </row>
    <row r="193" spans="11:11" x14ac:dyDescent="0.35">
      <c r="K193" s="35"/>
    </row>
    <row r="194" spans="11:11" x14ac:dyDescent="0.35">
      <c r="K194" s="35"/>
    </row>
    <row r="195" spans="11:11" x14ac:dyDescent="0.35">
      <c r="K195" s="35"/>
    </row>
    <row r="196" spans="11:11" x14ac:dyDescent="0.35">
      <c r="K196" s="35"/>
    </row>
    <row r="197" spans="11:11" x14ac:dyDescent="0.35">
      <c r="K197" s="35"/>
    </row>
    <row r="198" spans="11:11" x14ac:dyDescent="0.35">
      <c r="K198" s="35"/>
    </row>
    <row r="199" spans="11:11" x14ac:dyDescent="0.35">
      <c r="K199" s="35"/>
    </row>
    <row r="200" spans="11:11" x14ac:dyDescent="0.35">
      <c r="K200" s="35"/>
    </row>
    <row r="201" spans="11:11" x14ac:dyDescent="0.35">
      <c r="K201" s="35"/>
    </row>
    <row r="202" spans="11:11" x14ac:dyDescent="0.35">
      <c r="K202" s="35"/>
    </row>
    <row r="203" spans="11:11" x14ac:dyDescent="0.35">
      <c r="K203" s="35"/>
    </row>
    <row r="204" spans="11:11" x14ac:dyDescent="0.35">
      <c r="K204" s="35"/>
    </row>
    <row r="205" spans="11:11" x14ac:dyDescent="0.35">
      <c r="K205" s="35"/>
    </row>
    <row r="206" spans="11:11" x14ac:dyDescent="0.35">
      <c r="K206" s="35"/>
    </row>
    <row r="207" spans="11:11" x14ac:dyDescent="0.35">
      <c r="K207" s="35"/>
    </row>
    <row r="208" spans="11:11" x14ac:dyDescent="0.35">
      <c r="K208" s="35"/>
    </row>
    <row r="209" spans="11:11" x14ac:dyDescent="0.35">
      <c r="K209" s="35"/>
    </row>
    <row r="210" spans="11:11" x14ac:dyDescent="0.35">
      <c r="K210" s="35"/>
    </row>
    <row r="211" spans="11:11" x14ac:dyDescent="0.35">
      <c r="K211" s="35"/>
    </row>
    <row r="212" spans="11:11" x14ac:dyDescent="0.35">
      <c r="K212" s="35"/>
    </row>
    <row r="213" spans="11:11" x14ac:dyDescent="0.35">
      <c r="K213" s="35"/>
    </row>
    <row r="214" spans="11:11" x14ac:dyDescent="0.35">
      <c r="K214" s="35"/>
    </row>
    <row r="215" spans="11:11" x14ac:dyDescent="0.35">
      <c r="K215" s="35"/>
    </row>
    <row r="216" spans="11:11" x14ac:dyDescent="0.35">
      <c r="K216" s="35"/>
    </row>
    <row r="217" spans="11:11" x14ac:dyDescent="0.35">
      <c r="K217" s="35"/>
    </row>
    <row r="218" spans="11:11" x14ac:dyDescent="0.35">
      <c r="K218" s="35"/>
    </row>
    <row r="219" spans="11:11" x14ac:dyDescent="0.35">
      <c r="K219" s="35"/>
    </row>
    <row r="220" spans="11:11" x14ac:dyDescent="0.35">
      <c r="K220" s="35"/>
    </row>
    <row r="221" spans="11:11" x14ac:dyDescent="0.35">
      <c r="K221" s="35"/>
    </row>
    <row r="222" spans="11:11" x14ac:dyDescent="0.35">
      <c r="K222" s="35"/>
    </row>
    <row r="223" spans="11:11" x14ac:dyDescent="0.35">
      <c r="K223" s="35"/>
    </row>
    <row r="224" spans="11:11" x14ac:dyDescent="0.35">
      <c r="K224" s="35"/>
    </row>
    <row r="225" spans="11:11" x14ac:dyDescent="0.35">
      <c r="K225" s="35"/>
    </row>
    <row r="226" spans="11:11" x14ac:dyDescent="0.35">
      <c r="K226" s="35"/>
    </row>
    <row r="227" spans="11:11" x14ac:dyDescent="0.35">
      <c r="K227" s="35"/>
    </row>
    <row r="228" spans="11:11" x14ac:dyDescent="0.35">
      <c r="K228" s="35"/>
    </row>
    <row r="229" spans="11:11" x14ac:dyDescent="0.35">
      <c r="K229" s="35"/>
    </row>
    <row r="230" spans="11:11" x14ac:dyDescent="0.35">
      <c r="K230" s="35"/>
    </row>
    <row r="231" spans="11:11" x14ac:dyDescent="0.35">
      <c r="K231" s="35"/>
    </row>
    <row r="232" spans="11:11" x14ac:dyDescent="0.35">
      <c r="K232" s="35"/>
    </row>
    <row r="233" spans="11:11" x14ac:dyDescent="0.35">
      <c r="K233" s="35"/>
    </row>
    <row r="234" spans="11:11" x14ac:dyDescent="0.35">
      <c r="K234" s="35"/>
    </row>
    <row r="235" spans="11:11" x14ac:dyDescent="0.35">
      <c r="K235" s="35"/>
    </row>
    <row r="236" spans="11:11" x14ac:dyDescent="0.35">
      <c r="K236" s="35"/>
    </row>
    <row r="237" spans="11:11" x14ac:dyDescent="0.35">
      <c r="K237" s="35"/>
    </row>
    <row r="238" spans="11:11" x14ac:dyDescent="0.35">
      <c r="K238" s="35"/>
    </row>
    <row r="239" spans="11:11" x14ac:dyDescent="0.35">
      <c r="K239" s="35"/>
    </row>
    <row r="240" spans="11:11" x14ac:dyDescent="0.35">
      <c r="K240" s="35"/>
    </row>
    <row r="241" spans="11:11" x14ac:dyDescent="0.35">
      <c r="K241" s="35"/>
    </row>
    <row r="242" spans="11:11" x14ac:dyDescent="0.35">
      <c r="K242" s="35"/>
    </row>
    <row r="243" spans="11:11" x14ac:dyDescent="0.35">
      <c r="K243" s="35"/>
    </row>
    <row r="244" spans="11:11" x14ac:dyDescent="0.35">
      <c r="K244" s="35"/>
    </row>
    <row r="245" spans="11:11" x14ac:dyDescent="0.35">
      <c r="K245" s="35"/>
    </row>
    <row r="246" spans="11:11" x14ac:dyDescent="0.35">
      <c r="K246" s="35"/>
    </row>
    <row r="247" spans="11:11" x14ac:dyDescent="0.35">
      <c r="K247" s="35"/>
    </row>
    <row r="248" spans="11:11" x14ac:dyDescent="0.35">
      <c r="K248" s="35"/>
    </row>
    <row r="249" spans="11:11" x14ac:dyDescent="0.35">
      <c r="K249" s="35"/>
    </row>
    <row r="250" spans="11:11" x14ac:dyDescent="0.35">
      <c r="K250" s="35"/>
    </row>
    <row r="251" spans="11:11" x14ac:dyDescent="0.35">
      <c r="K251" s="35"/>
    </row>
    <row r="252" spans="11:11" x14ac:dyDescent="0.35">
      <c r="K252" s="35"/>
    </row>
    <row r="253" spans="11:11" x14ac:dyDescent="0.35">
      <c r="K253" s="35"/>
    </row>
    <row r="254" spans="11:11" x14ac:dyDescent="0.35">
      <c r="K254" s="35"/>
    </row>
    <row r="255" spans="11:11" x14ac:dyDescent="0.35">
      <c r="K255" s="35"/>
    </row>
    <row r="256" spans="11:11" x14ac:dyDescent="0.35">
      <c r="K256" s="35"/>
    </row>
    <row r="257" spans="11:11" x14ac:dyDescent="0.35">
      <c r="K257" s="35"/>
    </row>
    <row r="258" spans="11:11" x14ac:dyDescent="0.35">
      <c r="K258" s="35"/>
    </row>
    <row r="259" spans="11:11" x14ac:dyDescent="0.35">
      <c r="K259" s="35"/>
    </row>
    <row r="260" spans="11:11" x14ac:dyDescent="0.35">
      <c r="K260" s="35"/>
    </row>
    <row r="261" spans="11:11" x14ac:dyDescent="0.35">
      <c r="K261" s="35"/>
    </row>
    <row r="262" spans="11:11" x14ac:dyDescent="0.35">
      <c r="K262" s="35"/>
    </row>
    <row r="263" spans="11:11" x14ac:dyDescent="0.35">
      <c r="K263" s="35"/>
    </row>
    <row r="264" spans="11:11" x14ac:dyDescent="0.35">
      <c r="K264" s="35"/>
    </row>
    <row r="265" spans="11:11" x14ac:dyDescent="0.35">
      <c r="K265" s="35"/>
    </row>
    <row r="266" spans="11:11" x14ac:dyDescent="0.35">
      <c r="K266" s="35"/>
    </row>
    <row r="267" spans="11:11" x14ac:dyDescent="0.35">
      <c r="K267" s="35"/>
    </row>
    <row r="268" spans="11:11" x14ac:dyDescent="0.35">
      <c r="K268" s="35"/>
    </row>
    <row r="269" spans="11:11" x14ac:dyDescent="0.35">
      <c r="K269" s="35"/>
    </row>
    <row r="270" spans="11:11" x14ac:dyDescent="0.35">
      <c r="K270" s="35"/>
    </row>
    <row r="271" spans="11:11" x14ac:dyDescent="0.35">
      <c r="K271" s="35"/>
    </row>
    <row r="272" spans="11:11" x14ac:dyDescent="0.35">
      <c r="K272" s="35"/>
    </row>
    <row r="273" spans="11:11" x14ac:dyDescent="0.35">
      <c r="K273" s="35"/>
    </row>
    <row r="274" spans="11:11" x14ac:dyDescent="0.35">
      <c r="K274" s="35"/>
    </row>
    <row r="275" spans="11:11" x14ac:dyDescent="0.35">
      <c r="K275" s="35"/>
    </row>
    <row r="276" spans="11:11" x14ac:dyDescent="0.35">
      <c r="K276" s="35"/>
    </row>
    <row r="277" spans="11:11" x14ac:dyDescent="0.35">
      <c r="K277" s="35"/>
    </row>
    <row r="278" spans="11:11" x14ac:dyDescent="0.35">
      <c r="K278" s="35"/>
    </row>
    <row r="279" spans="11:11" x14ac:dyDescent="0.35">
      <c r="K279" s="35"/>
    </row>
    <row r="280" spans="11:11" x14ac:dyDescent="0.35">
      <c r="K280" s="35"/>
    </row>
    <row r="281" spans="11:11" x14ac:dyDescent="0.35">
      <c r="K281" s="35"/>
    </row>
    <row r="282" spans="11:11" x14ac:dyDescent="0.35">
      <c r="K282" s="35"/>
    </row>
    <row r="283" spans="11:11" x14ac:dyDescent="0.35">
      <c r="K283" s="35"/>
    </row>
    <row r="284" spans="11:11" x14ac:dyDescent="0.35">
      <c r="K284" s="35"/>
    </row>
    <row r="285" spans="11:11" x14ac:dyDescent="0.35">
      <c r="K285" s="35"/>
    </row>
    <row r="286" spans="11:11" x14ac:dyDescent="0.35">
      <c r="K286" s="35"/>
    </row>
    <row r="287" spans="11:11" x14ac:dyDescent="0.35">
      <c r="K287" s="35"/>
    </row>
    <row r="288" spans="11:11" x14ac:dyDescent="0.35">
      <c r="K288" s="35"/>
    </row>
    <row r="289" spans="11:11" x14ac:dyDescent="0.35">
      <c r="K289" s="35"/>
    </row>
    <row r="290" spans="11:11" x14ac:dyDescent="0.35">
      <c r="K290" s="35"/>
    </row>
    <row r="291" spans="11:11" x14ac:dyDescent="0.35">
      <c r="K291" s="35"/>
    </row>
    <row r="292" spans="11:11" x14ac:dyDescent="0.35">
      <c r="K292" s="35"/>
    </row>
    <row r="293" spans="11:11" x14ac:dyDescent="0.35">
      <c r="K293" s="35"/>
    </row>
    <row r="294" spans="11:11" x14ac:dyDescent="0.35">
      <c r="K294" s="35"/>
    </row>
    <row r="295" spans="11:11" x14ac:dyDescent="0.35">
      <c r="K295" s="35"/>
    </row>
    <row r="296" spans="11:11" x14ac:dyDescent="0.35">
      <c r="K296" s="35"/>
    </row>
    <row r="297" spans="11:11" x14ac:dyDescent="0.35">
      <c r="K297" s="35"/>
    </row>
  </sheetData>
  <pageMargins left="0.75" right="0.75" top="1" bottom="1" header="0.511811023622047" footer="0.511811023622047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22"/>
  <sheetViews>
    <sheetView topLeftCell="B1" zoomScaleNormal="100" workbookViewId="0">
      <pane ySplit="1" topLeftCell="A2" activePane="bottomLeft" state="frozen"/>
      <selection pane="bottomLeft" activeCell="K9" sqref="K9"/>
    </sheetView>
  </sheetViews>
  <sheetFormatPr defaultColWidth="8.6328125" defaultRowHeight="14.5" x14ac:dyDescent="0.35"/>
  <cols>
    <col min="1" max="1" width="22" customWidth="1"/>
    <col min="2" max="2" width="14" customWidth="1"/>
    <col min="3" max="3" width="30" customWidth="1"/>
    <col min="4" max="4" width="10" customWidth="1"/>
    <col min="5" max="6" width="14" customWidth="1"/>
    <col min="7" max="7" width="11" customWidth="1"/>
    <col min="8" max="8" width="12" customWidth="1"/>
    <col min="9" max="9" width="10" customWidth="1"/>
    <col min="10" max="10" width="18" customWidth="1"/>
    <col min="11" max="11" width="46" customWidth="1"/>
  </cols>
  <sheetData>
    <row r="1" spans="1:11" ht="26" x14ac:dyDescent="0.35">
      <c r="A1" s="11" t="s">
        <v>0</v>
      </c>
      <c r="B1" s="11" t="s">
        <v>36</v>
      </c>
      <c r="C1" s="11" t="s">
        <v>37</v>
      </c>
      <c r="D1" s="11" t="s">
        <v>38</v>
      </c>
      <c r="E1" s="11" t="s">
        <v>39</v>
      </c>
      <c r="F1" s="11" t="s">
        <v>40</v>
      </c>
      <c r="G1" s="11" t="s">
        <v>41</v>
      </c>
      <c r="H1" s="11" t="s">
        <v>42</v>
      </c>
      <c r="I1" s="11" t="s">
        <v>43</v>
      </c>
      <c r="J1" s="11" t="s">
        <v>44</v>
      </c>
      <c r="K1" s="11" t="s">
        <v>17</v>
      </c>
    </row>
    <row r="2" spans="1:11" x14ac:dyDescent="0.35">
      <c r="A2" s="12" t="s">
        <v>18</v>
      </c>
      <c r="B2" s="12" t="s">
        <v>45</v>
      </c>
      <c r="C2" s="12" t="s">
        <v>46</v>
      </c>
      <c r="D2" s="12"/>
      <c r="E2" s="13">
        <v>47000</v>
      </c>
      <c r="F2" s="13">
        <v>0</v>
      </c>
      <c r="G2" s="12">
        <v>160</v>
      </c>
      <c r="H2" s="14">
        <v>30</v>
      </c>
      <c r="I2" s="15">
        <v>0.4</v>
      </c>
      <c r="J2" s="13">
        <f t="shared" ref="J2:J22" si="0">(E2+F2)*12*I2</f>
        <v>225600</v>
      </c>
      <c r="K2" s="12"/>
    </row>
    <row r="3" spans="1:11" x14ac:dyDescent="0.35">
      <c r="A3" s="16" t="s">
        <v>18</v>
      </c>
      <c r="B3" s="16" t="s">
        <v>47</v>
      </c>
      <c r="C3" s="16" t="s">
        <v>48</v>
      </c>
      <c r="D3" s="16">
        <v>3</v>
      </c>
      <c r="E3" s="17">
        <v>115000</v>
      </c>
      <c r="F3" s="17">
        <v>0</v>
      </c>
      <c r="G3" s="16">
        <v>160</v>
      </c>
      <c r="H3" s="18">
        <v>30</v>
      </c>
      <c r="I3" s="19">
        <v>0.4</v>
      </c>
      <c r="J3" s="17">
        <f t="shared" si="0"/>
        <v>552000</v>
      </c>
      <c r="K3" s="16" t="s">
        <v>49</v>
      </c>
    </row>
    <row r="4" spans="1:11" x14ac:dyDescent="0.35">
      <c r="A4" s="16" t="s">
        <v>18</v>
      </c>
      <c r="B4" s="16" t="s">
        <v>50</v>
      </c>
      <c r="C4" s="16" t="s">
        <v>51</v>
      </c>
      <c r="D4" s="16">
        <v>2</v>
      </c>
      <c r="E4" s="17">
        <v>120000</v>
      </c>
      <c r="F4" s="17">
        <v>0</v>
      </c>
      <c r="G4" s="16">
        <v>160</v>
      </c>
      <c r="H4" s="18">
        <v>25</v>
      </c>
      <c r="I4" s="19">
        <v>0.3</v>
      </c>
      <c r="J4" s="17">
        <f t="shared" si="0"/>
        <v>432000</v>
      </c>
      <c r="K4" s="16" t="s">
        <v>52</v>
      </c>
    </row>
    <row r="5" spans="1:11" x14ac:dyDescent="0.35">
      <c r="A5" s="16" t="s">
        <v>18</v>
      </c>
      <c r="B5" s="16" t="s">
        <v>53</v>
      </c>
      <c r="C5" s="16" t="s">
        <v>54</v>
      </c>
      <c r="D5" s="16">
        <v>2</v>
      </c>
      <c r="E5" s="17">
        <v>100000</v>
      </c>
      <c r="F5" s="17">
        <v>0</v>
      </c>
      <c r="G5" s="16">
        <v>160</v>
      </c>
      <c r="H5" s="18">
        <v>20</v>
      </c>
      <c r="I5" s="19">
        <v>0.2</v>
      </c>
      <c r="J5" s="17">
        <f t="shared" si="0"/>
        <v>240000</v>
      </c>
      <c r="K5" s="16" t="s">
        <v>55</v>
      </c>
    </row>
    <row r="6" spans="1:11" x14ac:dyDescent="0.35">
      <c r="A6" s="12" t="s">
        <v>18</v>
      </c>
      <c r="B6" s="12" t="s">
        <v>56</v>
      </c>
      <c r="C6" s="12" t="s">
        <v>57</v>
      </c>
      <c r="D6" s="12">
        <v>2</v>
      </c>
      <c r="E6" s="13">
        <v>110000</v>
      </c>
      <c r="F6" s="13">
        <v>0</v>
      </c>
      <c r="G6" s="12">
        <v>160</v>
      </c>
      <c r="H6" s="14">
        <v>10</v>
      </c>
      <c r="I6" s="15">
        <v>0.1</v>
      </c>
      <c r="J6" s="13">
        <f t="shared" si="0"/>
        <v>132000</v>
      </c>
      <c r="K6" s="12"/>
    </row>
    <row r="7" spans="1:11" x14ac:dyDescent="0.35">
      <c r="A7" s="12" t="s">
        <v>18</v>
      </c>
      <c r="B7" s="12" t="s">
        <v>58</v>
      </c>
      <c r="C7" s="12" t="s">
        <v>59</v>
      </c>
      <c r="D7" s="12">
        <v>3</v>
      </c>
      <c r="E7" s="13">
        <v>110000</v>
      </c>
      <c r="F7" s="13">
        <v>0</v>
      </c>
      <c r="G7" s="12">
        <v>100</v>
      </c>
      <c r="H7" s="14">
        <v>30</v>
      </c>
      <c r="I7" s="15">
        <v>0.3</v>
      </c>
      <c r="J7" s="13">
        <f t="shared" si="0"/>
        <v>396000</v>
      </c>
      <c r="K7" s="12"/>
    </row>
    <row r="8" spans="1:11" x14ac:dyDescent="0.35">
      <c r="A8" s="12" t="s">
        <v>18</v>
      </c>
      <c r="B8" s="12" t="s">
        <v>60</v>
      </c>
      <c r="C8" s="12" t="s">
        <v>61</v>
      </c>
      <c r="D8" s="12">
        <v>1</v>
      </c>
      <c r="E8" s="13">
        <v>40000</v>
      </c>
      <c r="F8" s="13">
        <v>0</v>
      </c>
      <c r="G8" s="12">
        <v>160</v>
      </c>
      <c r="H8" s="14">
        <v>30</v>
      </c>
      <c r="I8" s="15">
        <v>0.3</v>
      </c>
      <c r="J8" s="13">
        <f t="shared" si="0"/>
        <v>144000</v>
      </c>
      <c r="K8" s="12"/>
    </row>
    <row r="9" spans="1:11" x14ac:dyDescent="0.35">
      <c r="A9" s="16" t="s">
        <v>25</v>
      </c>
      <c r="B9" s="16" t="s">
        <v>45</v>
      </c>
      <c r="C9" s="16" t="s">
        <v>46</v>
      </c>
      <c r="D9" s="16"/>
      <c r="E9" s="17">
        <v>50000</v>
      </c>
      <c r="F9" s="17">
        <v>0</v>
      </c>
      <c r="G9" s="16">
        <v>160</v>
      </c>
      <c r="H9" s="18">
        <v>4</v>
      </c>
      <c r="I9" s="19">
        <v>0.1048</v>
      </c>
      <c r="J9" s="17">
        <f t="shared" si="0"/>
        <v>62880</v>
      </c>
      <c r="K9" s="16" t="s">
        <v>62</v>
      </c>
    </row>
    <row r="10" spans="1:11" x14ac:dyDescent="0.35">
      <c r="A10" s="16" t="s">
        <v>25</v>
      </c>
      <c r="B10" s="16" t="s">
        <v>47</v>
      </c>
      <c r="C10" s="16" t="s">
        <v>63</v>
      </c>
      <c r="D10" s="16">
        <v>3</v>
      </c>
      <c r="E10" s="17">
        <v>55000</v>
      </c>
      <c r="F10" s="17">
        <v>0</v>
      </c>
      <c r="G10" s="16">
        <v>160</v>
      </c>
      <c r="H10" s="18">
        <v>6.5</v>
      </c>
      <c r="I10" s="19">
        <v>0.18</v>
      </c>
      <c r="J10" s="17">
        <f t="shared" si="0"/>
        <v>118800</v>
      </c>
      <c r="K10" s="16" t="s">
        <v>64</v>
      </c>
    </row>
    <row r="11" spans="1:11" x14ac:dyDescent="0.35">
      <c r="A11" s="16" t="s">
        <v>25</v>
      </c>
      <c r="B11" s="16" t="s">
        <v>50</v>
      </c>
      <c r="C11" s="16" t="s">
        <v>65</v>
      </c>
      <c r="D11" s="16">
        <v>2</v>
      </c>
      <c r="E11" s="17">
        <v>55000</v>
      </c>
      <c r="F11" s="17">
        <v>0</v>
      </c>
      <c r="G11" s="16">
        <v>160</v>
      </c>
      <c r="H11" s="18">
        <v>15</v>
      </c>
      <c r="I11" s="19">
        <v>0.5</v>
      </c>
      <c r="J11" s="17">
        <f t="shared" si="0"/>
        <v>330000</v>
      </c>
      <c r="K11" s="16" t="s">
        <v>66</v>
      </c>
    </row>
    <row r="12" spans="1:11" x14ac:dyDescent="0.35">
      <c r="A12" s="16" t="s">
        <v>25</v>
      </c>
      <c r="B12" s="16" t="s">
        <v>53</v>
      </c>
      <c r="C12" s="16" t="s">
        <v>63</v>
      </c>
      <c r="D12" s="16">
        <v>3</v>
      </c>
      <c r="E12" s="17">
        <v>50000</v>
      </c>
      <c r="F12" s="17">
        <v>0</v>
      </c>
      <c r="G12" s="16">
        <v>160</v>
      </c>
      <c r="H12" s="18">
        <v>45</v>
      </c>
      <c r="I12" s="19">
        <v>0.3</v>
      </c>
      <c r="J12" s="17">
        <f t="shared" si="0"/>
        <v>180000</v>
      </c>
      <c r="K12" s="16" t="s">
        <v>67</v>
      </c>
    </row>
    <row r="13" spans="1:11" x14ac:dyDescent="0.35">
      <c r="A13" s="16" t="s">
        <v>25</v>
      </c>
      <c r="B13" s="16" t="s">
        <v>56</v>
      </c>
      <c r="C13" s="16" t="s">
        <v>57</v>
      </c>
      <c r="D13" s="16">
        <v>2</v>
      </c>
      <c r="E13" s="17">
        <v>50000</v>
      </c>
      <c r="F13" s="17">
        <v>0</v>
      </c>
      <c r="G13" s="16">
        <v>160</v>
      </c>
      <c r="H13" s="18">
        <v>12.5</v>
      </c>
      <c r="I13" s="19">
        <v>0.18</v>
      </c>
      <c r="J13" s="17">
        <f t="shared" si="0"/>
        <v>108000</v>
      </c>
      <c r="K13" s="16" t="s">
        <v>68</v>
      </c>
    </row>
    <row r="14" spans="1:11" x14ac:dyDescent="0.35">
      <c r="A14" s="16" t="s">
        <v>25</v>
      </c>
      <c r="B14" s="16" t="s">
        <v>58</v>
      </c>
      <c r="C14" s="16" t="s">
        <v>65</v>
      </c>
      <c r="D14" s="16">
        <v>1</v>
      </c>
      <c r="E14" s="17">
        <v>50000</v>
      </c>
      <c r="F14" s="17">
        <v>0</v>
      </c>
      <c r="G14" s="16">
        <v>160</v>
      </c>
      <c r="H14" s="18">
        <v>30</v>
      </c>
      <c r="I14" s="19">
        <v>0.8</v>
      </c>
      <c r="J14" s="17">
        <f t="shared" si="0"/>
        <v>480000</v>
      </c>
      <c r="K14" s="16" t="s">
        <v>69</v>
      </c>
    </row>
    <row r="15" spans="1:11" x14ac:dyDescent="0.35">
      <c r="A15" s="16" t="s">
        <v>25</v>
      </c>
      <c r="B15" s="16" t="s">
        <v>60</v>
      </c>
      <c r="C15" s="16" t="s">
        <v>65</v>
      </c>
      <c r="D15" s="16">
        <v>1</v>
      </c>
      <c r="E15" s="17">
        <v>50000</v>
      </c>
      <c r="F15" s="17">
        <v>0</v>
      </c>
      <c r="G15" s="16">
        <v>160</v>
      </c>
      <c r="H15" s="18">
        <v>25</v>
      </c>
      <c r="I15" s="19">
        <v>0.14000000000000001</v>
      </c>
      <c r="J15" s="17">
        <f t="shared" si="0"/>
        <v>84000.000000000015</v>
      </c>
      <c r="K15" s="16" t="s">
        <v>70</v>
      </c>
    </row>
    <row r="16" spans="1:11" x14ac:dyDescent="0.35">
      <c r="A16" s="12" t="s">
        <v>31</v>
      </c>
      <c r="B16" s="12" t="s">
        <v>45</v>
      </c>
      <c r="C16" s="12" t="s">
        <v>46</v>
      </c>
      <c r="D16" s="12"/>
      <c r="E16" s="13">
        <v>75000</v>
      </c>
      <c r="F16" s="13">
        <v>0</v>
      </c>
      <c r="G16" s="12">
        <v>160</v>
      </c>
      <c r="H16" s="14">
        <v>5</v>
      </c>
      <c r="I16" s="15">
        <v>0.2</v>
      </c>
      <c r="J16" s="13">
        <f t="shared" si="0"/>
        <v>180000</v>
      </c>
      <c r="K16" s="12"/>
    </row>
    <row r="17" spans="1:11" x14ac:dyDescent="0.35">
      <c r="A17" s="16" t="s">
        <v>31</v>
      </c>
      <c r="B17" s="16" t="s">
        <v>47</v>
      </c>
      <c r="C17" s="16" t="s">
        <v>48</v>
      </c>
      <c r="D17" s="16">
        <v>2</v>
      </c>
      <c r="E17" s="17">
        <v>105000</v>
      </c>
      <c r="F17" s="17">
        <v>0</v>
      </c>
      <c r="G17" s="16">
        <v>160</v>
      </c>
      <c r="H17" s="18">
        <v>6</v>
      </c>
      <c r="I17" s="19">
        <v>0.25</v>
      </c>
      <c r="J17" s="17">
        <f t="shared" si="0"/>
        <v>315000</v>
      </c>
      <c r="K17" s="16" t="s">
        <v>71</v>
      </c>
    </row>
    <row r="18" spans="1:11" x14ac:dyDescent="0.35">
      <c r="A18" s="16" t="s">
        <v>31</v>
      </c>
      <c r="B18" s="16" t="s">
        <v>50</v>
      </c>
      <c r="C18" s="16" t="s">
        <v>59</v>
      </c>
      <c r="D18" s="16">
        <v>3</v>
      </c>
      <c r="E18" s="17">
        <v>180000</v>
      </c>
      <c r="F18" s="17">
        <v>0</v>
      </c>
      <c r="G18" s="16">
        <v>160</v>
      </c>
      <c r="H18" s="18">
        <v>10</v>
      </c>
      <c r="I18" s="19">
        <v>0.25</v>
      </c>
      <c r="J18" s="17">
        <f t="shared" si="0"/>
        <v>540000</v>
      </c>
      <c r="K18" s="16" t="s">
        <v>72</v>
      </c>
    </row>
    <row r="19" spans="1:11" x14ac:dyDescent="0.35">
      <c r="A19" s="16" t="s">
        <v>31</v>
      </c>
      <c r="B19" s="16" t="s">
        <v>53</v>
      </c>
      <c r="C19" s="16" t="s">
        <v>54</v>
      </c>
      <c r="D19" s="16">
        <v>3</v>
      </c>
      <c r="E19" s="17">
        <v>90000</v>
      </c>
      <c r="F19" s="17">
        <v>0</v>
      </c>
      <c r="G19" s="16">
        <v>160</v>
      </c>
      <c r="H19" s="18">
        <v>5</v>
      </c>
      <c r="I19" s="19">
        <v>0.2</v>
      </c>
      <c r="J19" s="17">
        <f t="shared" si="0"/>
        <v>216000</v>
      </c>
      <c r="K19" s="16" t="s">
        <v>55</v>
      </c>
    </row>
    <row r="20" spans="1:11" x14ac:dyDescent="0.35">
      <c r="A20" s="12" t="s">
        <v>31</v>
      </c>
      <c r="B20" s="12" t="s">
        <v>56</v>
      </c>
      <c r="C20" s="12" t="s">
        <v>57</v>
      </c>
      <c r="D20" s="12">
        <v>1</v>
      </c>
      <c r="E20" s="13">
        <v>90000</v>
      </c>
      <c r="F20" s="13">
        <v>0</v>
      </c>
      <c r="G20" s="12">
        <v>80</v>
      </c>
      <c r="H20" s="14">
        <v>20</v>
      </c>
      <c r="I20" s="15">
        <v>0.25</v>
      </c>
      <c r="J20" s="13">
        <f t="shared" si="0"/>
        <v>270000</v>
      </c>
      <c r="K20" s="12"/>
    </row>
    <row r="21" spans="1:11" x14ac:dyDescent="0.35">
      <c r="A21" s="16" t="s">
        <v>31</v>
      </c>
      <c r="B21" s="16" t="s">
        <v>58</v>
      </c>
      <c r="C21" s="16" t="s">
        <v>57</v>
      </c>
      <c r="D21" s="16">
        <v>1</v>
      </c>
      <c r="E21" s="17">
        <v>90000</v>
      </c>
      <c r="F21" s="17">
        <v>0</v>
      </c>
      <c r="G21" s="16">
        <v>60</v>
      </c>
      <c r="H21" s="18">
        <v>20</v>
      </c>
      <c r="I21" s="19">
        <v>0.3</v>
      </c>
      <c r="J21" s="17">
        <f t="shared" si="0"/>
        <v>324000</v>
      </c>
      <c r="K21" s="16" t="s">
        <v>52</v>
      </c>
    </row>
    <row r="22" spans="1:11" x14ac:dyDescent="0.35">
      <c r="A22" s="12" t="s">
        <v>31</v>
      </c>
      <c r="B22" s="12" t="s">
        <v>60</v>
      </c>
      <c r="C22" s="12" t="s">
        <v>59</v>
      </c>
      <c r="D22" s="12">
        <v>2</v>
      </c>
      <c r="E22" s="13">
        <v>90000</v>
      </c>
      <c r="F22" s="13">
        <v>0</v>
      </c>
      <c r="G22" s="12">
        <v>160</v>
      </c>
      <c r="H22" s="14">
        <v>5</v>
      </c>
      <c r="I22" s="15">
        <v>0.15</v>
      </c>
      <c r="J22" s="13">
        <f t="shared" si="0"/>
        <v>162000</v>
      </c>
      <c r="K22" s="12"/>
    </row>
  </sheetData>
  <pageMargins left="0.75" right="0.75" top="1" bottom="1" header="0.511811023622047" footer="0.511811023622047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19"/>
  <sheetViews>
    <sheetView zoomScaleNormal="100" workbookViewId="0">
      <pane ySplit="1" topLeftCell="A8" activePane="bottomLeft" state="frozen"/>
      <selection pane="bottomLeft" activeCell="G11" sqref="G11"/>
    </sheetView>
  </sheetViews>
  <sheetFormatPr defaultColWidth="8.6328125" defaultRowHeight="14.5" x14ac:dyDescent="0.35"/>
  <cols>
    <col min="1" max="1" width="22" customWidth="1"/>
    <col min="2" max="2" width="26" customWidth="1"/>
    <col min="3" max="3" width="16" customWidth="1"/>
    <col min="4" max="4" width="9" customWidth="1"/>
    <col min="5" max="6" width="16" customWidth="1"/>
    <col min="7" max="8" width="10" customWidth="1"/>
    <col min="9" max="10" width="18" customWidth="1"/>
    <col min="11" max="11" width="46" customWidth="1"/>
  </cols>
  <sheetData>
    <row r="1" spans="1:11" ht="26" x14ac:dyDescent="0.35">
      <c r="A1" s="11" t="s">
        <v>0</v>
      </c>
      <c r="B1" s="11" t="s">
        <v>73</v>
      </c>
      <c r="C1" s="11" t="s">
        <v>74</v>
      </c>
      <c r="D1" s="11" t="s">
        <v>75</v>
      </c>
      <c r="E1" s="11" t="s">
        <v>76</v>
      </c>
      <c r="F1" s="11" t="s">
        <v>77</v>
      </c>
      <c r="G1" s="11" t="s">
        <v>78</v>
      </c>
      <c r="H1" s="11" t="s">
        <v>79</v>
      </c>
      <c r="I1" s="11" t="s">
        <v>80</v>
      </c>
      <c r="J1" s="11" t="s">
        <v>81</v>
      </c>
      <c r="K1" s="11" t="s">
        <v>17</v>
      </c>
    </row>
    <row r="2" spans="1:11" x14ac:dyDescent="0.35">
      <c r="A2" s="12" t="s">
        <v>18</v>
      </c>
      <c r="B2" s="12" t="s">
        <v>82</v>
      </c>
      <c r="C2" s="12" t="s">
        <v>58</v>
      </c>
      <c r="D2" s="12">
        <v>1</v>
      </c>
      <c r="E2" s="13">
        <v>250000</v>
      </c>
      <c r="F2" s="13">
        <v>100000</v>
      </c>
      <c r="G2" s="15">
        <v>0.5</v>
      </c>
      <c r="H2" s="12">
        <v>5</v>
      </c>
      <c r="I2" s="13">
        <f t="shared" ref="I2:I19" si="0">IFERROR(E2*0.03/(1-POWER(1.03,-H2)),0)</f>
        <v>54588.642850144053</v>
      </c>
      <c r="J2" s="13">
        <f t="shared" ref="J2:J19" si="1">(I2*D2+F2)*G2</f>
        <v>77294.321425072034</v>
      </c>
      <c r="K2" s="12"/>
    </row>
    <row r="3" spans="1:11" x14ac:dyDescent="0.35">
      <c r="A3" s="16" t="s">
        <v>18</v>
      </c>
      <c r="B3" s="16" t="s">
        <v>83</v>
      </c>
      <c r="C3" s="16" t="s">
        <v>58</v>
      </c>
      <c r="D3" s="16">
        <v>0</v>
      </c>
      <c r="E3" s="17">
        <v>0</v>
      </c>
      <c r="F3" s="17">
        <v>0</v>
      </c>
      <c r="G3" s="19">
        <v>0</v>
      </c>
      <c r="H3" s="16">
        <v>5</v>
      </c>
      <c r="I3" s="17">
        <f t="shared" si="0"/>
        <v>0</v>
      </c>
      <c r="J3" s="17">
        <f t="shared" si="1"/>
        <v>0</v>
      </c>
      <c r="K3" s="16" t="s">
        <v>84</v>
      </c>
    </row>
    <row r="4" spans="1:11" x14ac:dyDescent="0.35">
      <c r="A4" s="12" t="s">
        <v>18</v>
      </c>
      <c r="B4" s="12" t="s">
        <v>85</v>
      </c>
      <c r="C4" s="12" t="s">
        <v>58</v>
      </c>
      <c r="D4" s="12">
        <v>2</v>
      </c>
      <c r="E4" s="13">
        <v>60000</v>
      </c>
      <c r="F4" s="13">
        <v>10000</v>
      </c>
      <c r="G4" s="15">
        <v>0.7</v>
      </c>
      <c r="H4" s="12">
        <v>4</v>
      </c>
      <c r="I4" s="13">
        <f t="shared" si="0"/>
        <v>16141.622711584962</v>
      </c>
      <c r="J4" s="13">
        <f t="shared" si="1"/>
        <v>29598.271796218945</v>
      </c>
      <c r="K4" s="12"/>
    </row>
    <row r="5" spans="1:11" x14ac:dyDescent="0.35">
      <c r="A5" s="12" t="s">
        <v>18</v>
      </c>
      <c r="B5" s="12" t="s">
        <v>86</v>
      </c>
      <c r="C5" s="12" t="s">
        <v>47</v>
      </c>
      <c r="D5" s="12">
        <v>4</v>
      </c>
      <c r="E5" s="13">
        <v>12000</v>
      </c>
      <c r="F5" s="13">
        <v>4000</v>
      </c>
      <c r="G5" s="15">
        <v>0.5</v>
      </c>
      <c r="H5" s="12">
        <v>3</v>
      </c>
      <c r="I5" s="13">
        <f t="shared" si="0"/>
        <v>4242.3643598951776</v>
      </c>
      <c r="J5" s="13">
        <f t="shared" si="1"/>
        <v>10484.728719790355</v>
      </c>
      <c r="K5" s="12"/>
    </row>
    <row r="6" spans="1:11" x14ac:dyDescent="0.35">
      <c r="A6" s="16" t="s">
        <v>18</v>
      </c>
      <c r="B6" s="16" t="s">
        <v>87</v>
      </c>
      <c r="C6" s="16" t="s">
        <v>56</v>
      </c>
      <c r="D6" s="16">
        <v>1</v>
      </c>
      <c r="E6" s="17">
        <v>6000000</v>
      </c>
      <c r="F6" s="17">
        <v>200000</v>
      </c>
      <c r="G6" s="19">
        <v>0.4</v>
      </c>
      <c r="H6" s="16">
        <v>10</v>
      </c>
      <c r="I6" s="17">
        <f t="shared" si="0"/>
        <v>703383.03963095765</v>
      </c>
      <c r="J6" s="17">
        <f t="shared" si="1"/>
        <v>361353.21585238306</v>
      </c>
      <c r="K6" s="16" t="s">
        <v>88</v>
      </c>
    </row>
    <row r="7" spans="1:11" x14ac:dyDescent="0.35">
      <c r="A7" s="16" t="s">
        <v>18</v>
      </c>
      <c r="B7" s="16" t="s">
        <v>89</v>
      </c>
      <c r="C7" s="16" t="s">
        <v>53</v>
      </c>
      <c r="D7" s="16">
        <v>1</v>
      </c>
      <c r="E7" s="17">
        <v>4000000</v>
      </c>
      <c r="F7" s="17">
        <v>1000000</v>
      </c>
      <c r="G7" s="19">
        <v>0.4</v>
      </c>
      <c r="H7" s="16">
        <v>5</v>
      </c>
      <c r="I7" s="17">
        <f t="shared" si="0"/>
        <v>873418.28560230485</v>
      </c>
      <c r="J7" s="17">
        <f t="shared" si="1"/>
        <v>749367.31424092199</v>
      </c>
      <c r="K7" s="16" t="s">
        <v>90</v>
      </c>
    </row>
    <row r="8" spans="1:11" x14ac:dyDescent="0.35">
      <c r="A8" s="16" t="s">
        <v>25</v>
      </c>
      <c r="B8" s="16" t="s">
        <v>82</v>
      </c>
      <c r="C8" s="16" t="s">
        <v>58</v>
      </c>
      <c r="D8" s="16">
        <v>1</v>
      </c>
      <c r="E8" s="23">
        <v>375310</v>
      </c>
      <c r="F8" s="23">
        <v>0</v>
      </c>
      <c r="G8" s="19">
        <v>0.74</v>
      </c>
      <c r="H8" s="16">
        <v>5</v>
      </c>
      <c r="I8" s="17">
        <f t="shared" si="0"/>
        <v>81950.654192350252</v>
      </c>
      <c r="J8" s="17">
        <f t="shared" si="1"/>
        <v>60643.484102339185</v>
      </c>
      <c r="K8" s="16" t="s">
        <v>91</v>
      </c>
    </row>
    <row r="9" spans="1:11" x14ac:dyDescent="0.35">
      <c r="A9" s="16" t="s">
        <v>25</v>
      </c>
      <c r="B9" s="16" t="s">
        <v>83</v>
      </c>
      <c r="C9" s="16" t="s">
        <v>58</v>
      </c>
      <c r="D9" s="16">
        <v>1</v>
      </c>
      <c r="E9" s="17">
        <v>37570</v>
      </c>
      <c r="F9" s="17">
        <v>0</v>
      </c>
      <c r="G9" s="19">
        <v>0</v>
      </c>
      <c r="H9" s="16">
        <v>5</v>
      </c>
      <c r="I9" s="17">
        <f t="shared" si="0"/>
        <v>8203.5812475196471</v>
      </c>
      <c r="J9" s="17">
        <f t="shared" si="1"/>
        <v>0</v>
      </c>
      <c r="K9" s="16" t="s">
        <v>92</v>
      </c>
    </row>
    <row r="10" spans="1:11" x14ac:dyDescent="0.35">
      <c r="A10" s="16" t="s">
        <v>25</v>
      </c>
      <c r="B10" s="16" t="s">
        <v>85</v>
      </c>
      <c r="C10" s="16" t="s">
        <v>58</v>
      </c>
      <c r="D10" s="16">
        <v>1</v>
      </c>
      <c r="E10" s="17">
        <v>30000</v>
      </c>
      <c r="F10" s="17">
        <v>5000</v>
      </c>
      <c r="G10" s="19">
        <v>1</v>
      </c>
      <c r="H10" s="16">
        <v>4</v>
      </c>
      <c r="I10" s="17">
        <f t="shared" si="0"/>
        <v>8070.8113557924808</v>
      </c>
      <c r="J10" s="17">
        <f t="shared" si="1"/>
        <v>13070.811355792481</v>
      </c>
      <c r="K10" s="16" t="s">
        <v>93</v>
      </c>
    </row>
    <row r="11" spans="1:11" x14ac:dyDescent="0.35">
      <c r="A11" s="16" t="s">
        <v>25</v>
      </c>
      <c r="B11" s="16" t="s">
        <v>86</v>
      </c>
      <c r="C11" s="16" t="s">
        <v>47</v>
      </c>
      <c r="D11" s="16">
        <v>1</v>
      </c>
      <c r="E11" s="17">
        <v>12000</v>
      </c>
      <c r="F11" s="17">
        <v>0</v>
      </c>
      <c r="G11" s="24">
        <v>1</v>
      </c>
      <c r="H11" s="16">
        <v>3</v>
      </c>
      <c r="I11" s="17">
        <f t="shared" si="0"/>
        <v>4242.3643598951776</v>
      </c>
      <c r="J11" s="17">
        <f t="shared" si="1"/>
        <v>4242.3643598951776</v>
      </c>
      <c r="K11" s="16" t="s">
        <v>94</v>
      </c>
    </row>
    <row r="12" spans="1:11" x14ac:dyDescent="0.35">
      <c r="A12" s="16" t="s">
        <v>25</v>
      </c>
      <c r="B12" s="16" t="s">
        <v>87</v>
      </c>
      <c r="C12" s="16" t="s">
        <v>56</v>
      </c>
      <c r="D12" s="16">
        <v>0</v>
      </c>
      <c r="E12" s="23">
        <v>0</v>
      </c>
      <c r="F12" s="23">
        <v>0</v>
      </c>
      <c r="G12" s="19">
        <v>0</v>
      </c>
      <c r="H12" s="16">
        <v>10</v>
      </c>
      <c r="I12" s="17">
        <f t="shared" si="0"/>
        <v>0</v>
      </c>
      <c r="J12" s="17">
        <f t="shared" si="1"/>
        <v>0</v>
      </c>
      <c r="K12" s="16" t="s">
        <v>95</v>
      </c>
    </row>
    <row r="13" spans="1:11" x14ac:dyDescent="0.35">
      <c r="A13" s="12" t="s">
        <v>25</v>
      </c>
      <c r="B13" s="12" t="s">
        <v>89</v>
      </c>
      <c r="C13" s="12" t="s">
        <v>53</v>
      </c>
      <c r="D13" s="12">
        <v>1</v>
      </c>
      <c r="E13" s="13">
        <v>2000000</v>
      </c>
      <c r="F13" s="13">
        <v>400000</v>
      </c>
      <c r="G13" s="15">
        <v>0.6</v>
      </c>
      <c r="H13" s="12">
        <v>5</v>
      </c>
      <c r="I13" s="13">
        <f t="shared" si="0"/>
        <v>436709.14280115243</v>
      </c>
      <c r="J13" s="13">
        <f t="shared" si="1"/>
        <v>502025.48568069143</v>
      </c>
      <c r="K13" s="12"/>
    </row>
    <row r="14" spans="1:11" x14ac:dyDescent="0.35">
      <c r="A14" s="16" t="s">
        <v>31</v>
      </c>
      <c r="B14" s="16" t="s">
        <v>82</v>
      </c>
      <c r="C14" s="16" t="s">
        <v>58</v>
      </c>
      <c r="D14" s="16">
        <v>0</v>
      </c>
      <c r="E14" s="23">
        <v>0</v>
      </c>
      <c r="F14" s="23">
        <v>0</v>
      </c>
      <c r="G14" s="19">
        <v>0</v>
      </c>
      <c r="H14" s="16">
        <v>5</v>
      </c>
      <c r="I14" s="17">
        <f t="shared" si="0"/>
        <v>0</v>
      </c>
      <c r="J14" s="17">
        <f t="shared" si="1"/>
        <v>0</v>
      </c>
      <c r="K14" s="16" t="s">
        <v>96</v>
      </c>
    </row>
    <row r="15" spans="1:11" x14ac:dyDescent="0.35">
      <c r="A15" s="16" t="s">
        <v>31</v>
      </c>
      <c r="B15" s="16" t="s">
        <v>83</v>
      </c>
      <c r="C15" s="16" t="s">
        <v>58</v>
      </c>
      <c r="D15" s="16">
        <v>0</v>
      </c>
      <c r="E15" s="23">
        <v>0</v>
      </c>
      <c r="F15" s="23">
        <v>0</v>
      </c>
      <c r="G15" s="19">
        <v>0</v>
      </c>
      <c r="H15" s="16">
        <v>5</v>
      </c>
      <c r="I15" s="17">
        <f t="shared" si="0"/>
        <v>0</v>
      </c>
      <c r="J15" s="17">
        <f t="shared" si="1"/>
        <v>0</v>
      </c>
      <c r="K15" s="16" t="s">
        <v>97</v>
      </c>
    </row>
    <row r="16" spans="1:11" x14ac:dyDescent="0.35">
      <c r="A16" s="12" t="s">
        <v>31</v>
      </c>
      <c r="B16" s="12" t="s">
        <v>85</v>
      </c>
      <c r="C16" s="12" t="s">
        <v>58</v>
      </c>
      <c r="D16" s="12">
        <v>1</v>
      </c>
      <c r="E16" s="13">
        <v>50000</v>
      </c>
      <c r="F16" s="13">
        <v>10000</v>
      </c>
      <c r="G16" s="15">
        <v>0.8</v>
      </c>
      <c r="H16" s="12">
        <v>4</v>
      </c>
      <c r="I16" s="13">
        <f t="shared" si="0"/>
        <v>13451.352259654135</v>
      </c>
      <c r="J16" s="13">
        <f t="shared" si="1"/>
        <v>18761.081807723309</v>
      </c>
      <c r="K16" s="12"/>
    </row>
    <row r="17" spans="1:11" x14ac:dyDescent="0.35">
      <c r="A17" s="12" t="s">
        <v>31</v>
      </c>
      <c r="B17" s="12" t="s">
        <v>86</v>
      </c>
      <c r="C17" s="12" t="s">
        <v>47</v>
      </c>
      <c r="D17" s="12">
        <v>1</v>
      </c>
      <c r="E17" s="13">
        <v>3000</v>
      </c>
      <c r="F17" s="13">
        <v>1000</v>
      </c>
      <c r="G17" s="15">
        <v>0.8</v>
      </c>
      <c r="H17" s="12">
        <v>3</v>
      </c>
      <c r="I17" s="13">
        <f t="shared" si="0"/>
        <v>1060.5910899737944</v>
      </c>
      <c r="J17" s="13">
        <f t="shared" si="1"/>
        <v>1648.4728719790357</v>
      </c>
      <c r="K17" s="12"/>
    </row>
    <row r="18" spans="1:11" x14ac:dyDescent="0.35">
      <c r="A18" s="16" t="s">
        <v>31</v>
      </c>
      <c r="B18" s="16" t="s">
        <v>87</v>
      </c>
      <c r="C18" s="16" t="s">
        <v>56</v>
      </c>
      <c r="D18" s="25">
        <v>0</v>
      </c>
      <c r="E18" s="23">
        <v>0</v>
      </c>
      <c r="F18" s="23">
        <v>0</v>
      </c>
      <c r="G18" s="24">
        <v>0</v>
      </c>
      <c r="H18" s="16">
        <v>10</v>
      </c>
      <c r="I18" s="17">
        <f t="shared" si="0"/>
        <v>0</v>
      </c>
      <c r="J18" s="17">
        <f t="shared" si="1"/>
        <v>0</v>
      </c>
      <c r="K18" s="16" t="s">
        <v>98</v>
      </c>
    </row>
    <row r="19" spans="1:11" x14ac:dyDescent="0.35">
      <c r="A19" s="16" t="s">
        <v>31</v>
      </c>
      <c r="B19" s="16" t="s">
        <v>89</v>
      </c>
      <c r="C19" s="16" t="s">
        <v>53</v>
      </c>
      <c r="D19" s="16">
        <v>0</v>
      </c>
      <c r="E19" s="17">
        <v>0</v>
      </c>
      <c r="F19" s="17">
        <v>0</v>
      </c>
      <c r="G19" s="19">
        <v>0</v>
      </c>
      <c r="H19" s="16">
        <v>5</v>
      </c>
      <c r="I19" s="17">
        <f t="shared" si="0"/>
        <v>0</v>
      </c>
      <c r="J19" s="17">
        <f t="shared" si="1"/>
        <v>0</v>
      </c>
      <c r="K19" s="16" t="s">
        <v>99</v>
      </c>
    </row>
  </sheetData>
  <pageMargins left="0.75" right="0.75" top="1" bottom="1" header="0.511811023622047" footer="0.511811023622047"/>
  <pageSetup paperSize="9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25"/>
  <sheetViews>
    <sheetView zoomScaleNormal="100" workbookViewId="0">
      <pane ySplit="1" topLeftCell="A2" activePane="bottomLeft" state="frozen"/>
      <selection pane="bottomLeft" activeCell="E9" sqref="E9"/>
    </sheetView>
  </sheetViews>
  <sheetFormatPr defaultColWidth="8.6328125" defaultRowHeight="14.5" x14ac:dyDescent="0.35"/>
  <cols>
    <col min="1" max="1" width="22" customWidth="1"/>
    <col min="2" max="2" width="30" customWidth="1"/>
    <col min="3" max="4" width="12" customWidth="1"/>
    <col min="5" max="5" width="10" customWidth="1"/>
    <col min="6" max="6" width="14" customWidth="1"/>
    <col min="7" max="7" width="12" customWidth="1"/>
    <col min="8" max="8" width="15" customWidth="1"/>
    <col min="9" max="9" width="77.81640625" customWidth="1"/>
  </cols>
  <sheetData>
    <row r="1" spans="1:9" ht="26" x14ac:dyDescent="0.35">
      <c r="A1" s="11" t="s">
        <v>0</v>
      </c>
      <c r="B1" s="11" t="s">
        <v>73</v>
      </c>
      <c r="C1" s="11" t="s">
        <v>100</v>
      </c>
      <c r="D1" s="11" t="s">
        <v>101</v>
      </c>
      <c r="E1" s="11" t="s">
        <v>102</v>
      </c>
      <c r="F1" s="11" t="s">
        <v>103</v>
      </c>
      <c r="G1" s="11" t="s">
        <v>104</v>
      </c>
      <c r="H1" s="11" t="s">
        <v>105</v>
      </c>
      <c r="I1" s="11" t="s">
        <v>17</v>
      </c>
    </row>
    <row r="2" spans="1:9" s="30" customFormat="1" x14ac:dyDescent="0.35">
      <c r="A2" s="25" t="s">
        <v>18</v>
      </c>
      <c r="B2" s="25" t="s">
        <v>106</v>
      </c>
      <c r="C2" s="23">
        <v>500</v>
      </c>
      <c r="D2" s="25">
        <v>1</v>
      </c>
      <c r="E2" s="29">
        <v>1.05</v>
      </c>
      <c r="F2" s="25" t="s">
        <v>58</v>
      </c>
      <c r="G2" s="23">
        <v>1500</v>
      </c>
      <c r="H2" s="23">
        <f t="shared" ref="H2:H25" si="0">C2*D2*E2*G2</f>
        <v>787500</v>
      </c>
      <c r="I2" s="25" t="s">
        <v>107</v>
      </c>
    </row>
    <row r="3" spans="1:9" s="30" customFormat="1" x14ac:dyDescent="0.35">
      <c r="A3" s="31" t="s">
        <v>18</v>
      </c>
      <c r="B3" s="31" t="s">
        <v>108</v>
      </c>
      <c r="C3" s="26">
        <v>50</v>
      </c>
      <c r="D3" s="31">
        <v>1</v>
      </c>
      <c r="E3" s="32">
        <v>1.05</v>
      </c>
      <c r="F3" s="31" t="s">
        <v>58</v>
      </c>
      <c r="G3" s="26">
        <v>1500</v>
      </c>
      <c r="H3" s="26">
        <f t="shared" si="0"/>
        <v>78750</v>
      </c>
      <c r="I3" s="31"/>
    </row>
    <row r="4" spans="1:9" s="30" customFormat="1" x14ac:dyDescent="0.35">
      <c r="A4" s="25" t="s">
        <v>18</v>
      </c>
      <c r="B4" s="25" t="s">
        <v>109</v>
      </c>
      <c r="C4" s="23">
        <v>500</v>
      </c>
      <c r="D4" s="25">
        <v>3</v>
      </c>
      <c r="E4" s="29">
        <v>1.05</v>
      </c>
      <c r="F4" s="25" t="s">
        <v>58</v>
      </c>
      <c r="G4" s="23">
        <v>1500</v>
      </c>
      <c r="H4" s="23">
        <f t="shared" si="0"/>
        <v>2362500</v>
      </c>
      <c r="I4" s="25" t="s">
        <v>110</v>
      </c>
    </row>
    <row r="5" spans="1:9" s="30" customFormat="1" x14ac:dyDescent="0.35">
      <c r="A5" s="25" t="s">
        <v>18</v>
      </c>
      <c r="B5" s="25" t="s">
        <v>111</v>
      </c>
      <c r="C5" s="23">
        <v>5</v>
      </c>
      <c r="D5" s="25">
        <v>6</v>
      </c>
      <c r="E5" s="29">
        <v>1.05</v>
      </c>
      <c r="F5" s="25" t="s">
        <v>112</v>
      </c>
      <c r="G5" s="23">
        <v>1054</v>
      </c>
      <c r="H5" s="23">
        <f t="shared" si="0"/>
        <v>33201</v>
      </c>
      <c r="I5" s="25" t="s">
        <v>113</v>
      </c>
    </row>
    <row r="6" spans="1:9" x14ac:dyDescent="0.35">
      <c r="A6" s="12" t="s">
        <v>18</v>
      </c>
      <c r="B6" s="12" t="s">
        <v>114</v>
      </c>
      <c r="C6" s="13">
        <v>120</v>
      </c>
      <c r="D6" s="12">
        <v>1</v>
      </c>
      <c r="E6" s="21">
        <v>1.05</v>
      </c>
      <c r="F6" s="12" t="s">
        <v>112</v>
      </c>
      <c r="G6" s="13">
        <v>1054</v>
      </c>
      <c r="H6" s="13">
        <f t="shared" si="0"/>
        <v>132804</v>
      </c>
      <c r="I6" s="12"/>
    </row>
    <row r="7" spans="1:9" s="30" customFormat="1" x14ac:dyDescent="0.35">
      <c r="A7" s="31" t="s">
        <v>18</v>
      </c>
      <c r="B7" s="31" t="s">
        <v>115</v>
      </c>
      <c r="C7" s="26">
        <v>50</v>
      </c>
      <c r="D7" s="31">
        <v>2</v>
      </c>
      <c r="E7" s="32">
        <v>1.05</v>
      </c>
      <c r="F7" s="31" t="s">
        <v>112</v>
      </c>
      <c r="G7" s="26">
        <v>1054</v>
      </c>
      <c r="H7" s="26">
        <f t="shared" si="0"/>
        <v>110670</v>
      </c>
      <c r="I7" s="31"/>
    </row>
    <row r="8" spans="1:9" x14ac:dyDescent="0.35">
      <c r="A8" s="16" t="s">
        <v>18</v>
      </c>
      <c r="B8" s="16" t="s">
        <v>116</v>
      </c>
      <c r="C8" s="17">
        <v>600</v>
      </c>
      <c r="D8" s="16">
        <v>1</v>
      </c>
      <c r="E8" s="20">
        <v>1.05</v>
      </c>
      <c r="F8" s="16" t="s">
        <v>117</v>
      </c>
      <c r="G8" s="17">
        <v>4000</v>
      </c>
      <c r="H8" s="17">
        <f t="shared" si="0"/>
        <v>2520000</v>
      </c>
      <c r="I8" s="16" t="s">
        <v>118</v>
      </c>
    </row>
    <row r="9" spans="1:9" x14ac:dyDescent="0.35">
      <c r="A9" s="16" t="s">
        <v>18</v>
      </c>
      <c r="B9" s="16" t="s">
        <v>119</v>
      </c>
      <c r="C9" s="23">
        <v>784.31</v>
      </c>
      <c r="D9" s="25">
        <v>1</v>
      </c>
      <c r="E9" s="20">
        <v>1.05</v>
      </c>
      <c r="F9" s="16" t="s">
        <v>120</v>
      </c>
      <c r="G9" s="17">
        <v>255</v>
      </c>
      <c r="H9" s="17">
        <f t="shared" si="0"/>
        <v>209999.0025</v>
      </c>
      <c r="I9" s="16" t="s">
        <v>121</v>
      </c>
    </row>
    <row r="10" spans="1:9" s="30" customFormat="1" x14ac:dyDescent="0.35">
      <c r="A10" s="25" t="s">
        <v>25</v>
      </c>
      <c r="B10" s="25" t="s">
        <v>106</v>
      </c>
      <c r="C10" s="23">
        <v>500</v>
      </c>
      <c r="D10" s="25">
        <v>2</v>
      </c>
      <c r="E10" s="29">
        <v>1.05</v>
      </c>
      <c r="F10" s="25" t="s">
        <v>58</v>
      </c>
      <c r="G10" s="23">
        <v>53</v>
      </c>
      <c r="H10" s="23">
        <f t="shared" si="0"/>
        <v>55650</v>
      </c>
      <c r="I10" s="25" t="s">
        <v>122</v>
      </c>
    </row>
    <row r="11" spans="1:9" s="30" customFormat="1" x14ac:dyDescent="0.35">
      <c r="A11" s="25" t="s">
        <v>25</v>
      </c>
      <c r="B11" s="25" t="s">
        <v>108</v>
      </c>
      <c r="C11" s="23">
        <v>50</v>
      </c>
      <c r="D11" s="25">
        <v>1</v>
      </c>
      <c r="E11" s="29">
        <v>1.05</v>
      </c>
      <c r="F11" s="25" t="s">
        <v>58</v>
      </c>
      <c r="G11" s="23">
        <v>53</v>
      </c>
      <c r="H11" s="23">
        <f t="shared" si="0"/>
        <v>2782.5</v>
      </c>
      <c r="I11" s="25" t="s">
        <v>123</v>
      </c>
    </row>
    <row r="12" spans="1:9" x14ac:dyDescent="0.35">
      <c r="A12" s="16" t="s">
        <v>25</v>
      </c>
      <c r="B12" s="16" t="s">
        <v>109</v>
      </c>
      <c r="C12" s="23">
        <v>650</v>
      </c>
      <c r="D12" s="25">
        <v>1</v>
      </c>
      <c r="E12" s="20">
        <v>1.05</v>
      </c>
      <c r="F12" s="16" t="s">
        <v>58</v>
      </c>
      <c r="G12" s="17">
        <v>53</v>
      </c>
      <c r="H12" s="17">
        <f t="shared" si="0"/>
        <v>36172.5</v>
      </c>
      <c r="I12" s="16" t="s">
        <v>124</v>
      </c>
    </row>
    <row r="13" spans="1:9" x14ac:dyDescent="0.35">
      <c r="A13" s="16" t="s">
        <v>25</v>
      </c>
      <c r="B13" s="16" t="s">
        <v>111</v>
      </c>
      <c r="C13" s="23">
        <v>5</v>
      </c>
      <c r="D13" s="25">
        <v>2</v>
      </c>
      <c r="E13" s="20">
        <v>1.05</v>
      </c>
      <c r="F13" s="16" t="s">
        <v>112</v>
      </c>
      <c r="G13" s="17">
        <v>262</v>
      </c>
      <c r="H13" s="17">
        <f t="shared" si="0"/>
        <v>2751</v>
      </c>
      <c r="I13" s="16" t="s">
        <v>125</v>
      </c>
    </row>
    <row r="14" spans="1:9" x14ac:dyDescent="0.35">
      <c r="A14" s="12" t="s">
        <v>25</v>
      </c>
      <c r="B14" s="12" t="s">
        <v>114</v>
      </c>
      <c r="C14" s="13">
        <v>100</v>
      </c>
      <c r="D14" s="12">
        <v>1</v>
      </c>
      <c r="E14" s="21">
        <v>1.05</v>
      </c>
      <c r="F14" s="12" t="s">
        <v>112</v>
      </c>
      <c r="G14" s="13">
        <v>262</v>
      </c>
      <c r="H14" s="13">
        <f t="shared" si="0"/>
        <v>27510</v>
      </c>
      <c r="I14" s="12"/>
    </row>
    <row r="15" spans="1:9" x14ac:dyDescent="0.35">
      <c r="A15" s="12" t="s">
        <v>25</v>
      </c>
      <c r="B15" s="12" t="s">
        <v>115</v>
      </c>
      <c r="C15" s="13">
        <v>50</v>
      </c>
      <c r="D15" s="12">
        <v>1</v>
      </c>
      <c r="E15" s="21">
        <v>1.05</v>
      </c>
      <c r="F15" s="12" t="s">
        <v>112</v>
      </c>
      <c r="G15" s="13">
        <v>262</v>
      </c>
      <c r="H15" s="13">
        <f t="shared" si="0"/>
        <v>13755</v>
      </c>
      <c r="I15" s="12"/>
    </row>
    <row r="16" spans="1:9" x14ac:dyDescent="0.35">
      <c r="A16" s="16" t="s">
        <v>25</v>
      </c>
      <c r="B16" s="16" t="s">
        <v>116</v>
      </c>
      <c r="C16" s="23">
        <v>0</v>
      </c>
      <c r="D16" s="16">
        <v>1</v>
      </c>
      <c r="E16" s="20">
        <v>1.05</v>
      </c>
      <c r="F16" s="16" t="s">
        <v>117</v>
      </c>
      <c r="G16" s="17">
        <v>0</v>
      </c>
      <c r="H16" s="17">
        <f t="shared" si="0"/>
        <v>0</v>
      </c>
      <c r="I16" s="16" t="s">
        <v>126</v>
      </c>
    </row>
    <row r="17" spans="1:9" x14ac:dyDescent="0.35">
      <c r="A17" s="12" t="s">
        <v>25</v>
      </c>
      <c r="B17" s="12" t="s">
        <v>119</v>
      </c>
      <c r="C17" s="13">
        <v>200</v>
      </c>
      <c r="D17" s="12">
        <v>1</v>
      </c>
      <c r="E17" s="21">
        <v>1.05</v>
      </c>
      <c r="F17" s="12" t="s">
        <v>120</v>
      </c>
      <c r="G17" s="13">
        <v>1545</v>
      </c>
      <c r="H17" s="13">
        <f t="shared" si="0"/>
        <v>324450</v>
      </c>
      <c r="I17" s="12"/>
    </row>
    <row r="18" spans="1:9" s="30" customFormat="1" x14ac:dyDescent="0.35">
      <c r="A18" s="31" t="s">
        <v>31</v>
      </c>
      <c r="B18" s="31" t="s">
        <v>106</v>
      </c>
      <c r="C18" s="26">
        <v>500</v>
      </c>
      <c r="D18" s="31">
        <v>1</v>
      </c>
      <c r="E18" s="32">
        <v>1.05</v>
      </c>
      <c r="F18" s="31" t="s">
        <v>58</v>
      </c>
      <c r="G18" s="26">
        <v>127</v>
      </c>
      <c r="H18" s="26">
        <f t="shared" si="0"/>
        <v>66675</v>
      </c>
      <c r="I18" s="31"/>
    </row>
    <row r="19" spans="1:9" x14ac:dyDescent="0.35">
      <c r="A19" s="16" t="s">
        <v>31</v>
      </c>
      <c r="B19" s="16" t="s">
        <v>108</v>
      </c>
      <c r="C19" s="23">
        <v>50</v>
      </c>
      <c r="D19" s="25">
        <v>1</v>
      </c>
      <c r="E19" s="20">
        <v>1.05</v>
      </c>
      <c r="F19" s="16" t="s">
        <v>58</v>
      </c>
      <c r="G19" s="17">
        <v>127</v>
      </c>
      <c r="H19" s="17">
        <f t="shared" si="0"/>
        <v>6667.5</v>
      </c>
      <c r="I19" s="16" t="s">
        <v>127</v>
      </c>
    </row>
    <row r="20" spans="1:9" x14ac:dyDescent="0.35">
      <c r="A20" s="12" t="s">
        <v>31</v>
      </c>
      <c r="B20" s="12" t="s">
        <v>109</v>
      </c>
      <c r="C20" s="13">
        <v>200</v>
      </c>
      <c r="D20" s="12">
        <v>2</v>
      </c>
      <c r="E20" s="21">
        <v>1.05</v>
      </c>
      <c r="F20" s="12" t="s">
        <v>58</v>
      </c>
      <c r="G20" s="13">
        <v>127</v>
      </c>
      <c r="H20" s="13">
        <f t="shared" si="0"/>
        <v>53340</v>
      </c>
      <c r="I20" s="12"/>
    </row>
    <row r="21" spans="1:9" s="30" customFormat="1" x14ac:dyDescent="0.35">
      <c r="A21" s="31" t="s">
        <v>31</v>
      </c>
      <c r="B21" s="31" t="s">
        <v>111</v>
      </c>
      <c r="C21" s="26">
        <v>5</v>
      </c>
      <c r="D21" s="31">
        <v>2</v>
      </c>
      <c r="E21" s="32">
        <v>1.05</v>
      </c>
      <c r="F21" s="31" t="s">
        <v>112</v>
      </c>
      <c r="G21" s="26">
        <v>408</v>
      </c>
      <c r="H21" s="26">
        <f t="shared" si="0"/>
        <v>4284</v>
      </c>
      <c r="I21" s="31"/>
    </row>
    <row r="22" spans="1:9" x14ac:dyDescent="0.35">
      <c r="A22" s="12" t="s">
        <v>31</v>
      </c>
      <c r="B22" s="12" t="s">
        <v>114</v>
      </c>
      <c r="C22" s="13">
        <v>200</v>
      </c>
      <c r="D22" s="12">
        <v>2</v>
      </c>
      <c r="E22" s="21">
        <v>1.05</v>
      </c>
      <c r="F22" s="12" t="s">
        <v>112</v>
      </c>
      <c r="G22" s="13">
        <v>408</v>
      </c>
      <c r="H22" s="13">
        <f t="shared" si="0"/>
        <v>171360</v>
      </c>
      <c r="I22" s="12"/>
    </row>
    <row r="23" spans="1:9" x14ac:dyDescent="0.35">
      <c r="A23" s="12" t="s">
        <v>31</v>
      </c>
      <c r="B23" s="12" t="s">
        <v>115</v>
      </c>
      <c r="C23" s="13">
        <v>50</v>
      </c>
      <c r="D23" s="12">
        <v>1</v>
      </c>
      <c r="E23" s="21">
        <v>1.05</v>
      </c>
      <c r="F23" s="12" t="s">
        <v>112</v>
      </c>
      <c r="G23" s="13">
        <v>408</v>
      </c>
      <c r="H23" s="13">
        <f t="shared" si="0"/>
        <v>21420</v>
      </c>
      <c r="I23" s="12"/>
    </row>
    <row r="24" spans="1:9" s="30" customFormat="1" x14ac:dyDescent="0.35">
      <c r="A24" s="31" t="s">
        <v>31</v>
      </c>
      <c r="B24" s="31" t="s">
        <v>116</v>
      </c>
      <c r="C24" s="26">
        <v>0</v>
      </c>
      <c r="D24" s="31">
        <v>1</v>
      </c>
      <c r="E24" s="32">
        <v>1.05</v>
      </c>
      <c r="F24" s="31" t="s">
        <v>117</v>
      </c>
      <c r="G24" s="26">
        <v>205</v>
      </c>
      <c r="H24" s="26">
        <f t="shared" si="0"/>
        <v>0</v>
      </c>
      <c r="I24" s="31"/>
    </row>
    <row r="25" spans="1:9" x14ac:dyDescent="0.35">
      <c r="A25" s="12" t="s">
        <v>31</v>
      </c>
      <c r="B25" s="12" t="s">
        <v>119</v>
      </c>
      <c r="C25" s="13">
        <v>1000</v>
      </c>
      <c r="D25" s="12">
        <v>1</v>
      </c>
      <c r="E25" s="21">
        <v>1.05</v>
      </c>
      <c r="F25" s="12" t="s">
        <v>120</v>
      </c>
      <c r="G25" s="13">
        <v>366</v>
      </c>
      <c r="H25" s="13">
        <f t="shared" si="0"/>
        <v>384300</v>
      </c>
      <c r="I25" s="12"/>
    </row>
  </sheetData>
  <pageMargins left="0.75" right="0.75" top="1" bottom="1" header="0.511811023622047" footer="0.511811023622047"/>
  <pageSetup paperSize="9"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19"/>
  <sheetViews>
    <sheetView zoomScaleNormal="100" workbookViewId="0">
      <pane ySplit="1" topLeftCell="A2" activePane="bottomLeft" state="frozen"/>
      <selection pane="bottomLeft" activeCell="D6" sqref="D6"/>
    </sheetView>
  </sheetViews>
  <sheetFormatPr defaultColWidth="8.6328125" defaultRowHeight="14.5" x14ac:dyDescent="0.35"/>
  <cols>
    <col min="1" max="1" width="22" customWidth="1"/>
    <col min="2" max="2" width="26" customWidth="1"/>
    <col min="3" max="3" width="10" style="30" customWidth="1"/>
    <col min="4" max="4" width="14" style="30" customWidth="1"/>
    <col min="5" max="5" width="14" customWidth="1"/>
    <col min="6" max="6" width="18" customWidth="1"/>
    <col min="7" max="7" width="50" customWidth="1"/>
  </cols>
  <sheetData>
    <row r="1" spans="1:7" ht="26" x14ac:dyDescent="0.35">
      <c r="A1" s="11" t="s">
        <v>0</v>
      </c>
      <c r="B1" s="11" t="s">
        <v>128</v>
      </c>
      <c r="C1" s="34" t="s">
        <v>129</v>
      </c>
      <c r="D1" s="34" t="s">
        <v>105</v>
      </c>
      <c r="E1" s="11" t="s">
        <v>15</v>
      </c>
      <c r="F1" s="11" t="s">
        <v>81</v>
      </c>
      <c r="G1" s="11" t="s">
        <v>17</v>
      </c>
    </row>
    <row r="2" spans="1:7" x14ac:dyDescent="0.35">
      <c r="A2" s="16" t="s">
        <v>18</v>
      </c>
      <c r="B2" s="16" t="s">
        <v>130</v>
      </c>
      <c r="C2" s="23">
        <v>100</v>
      </c>
      <c r="D2" s="33">
        <v>600000</v>
      </c>
      <c r="E2" s="17">
        <v>10000</v>
      </c>
      <c r="F2" s="17">
        <f t="shared" ref="F2:F19" si="0">IFERROR(D2*C2/E2,0)</f>
        <v>6000</v>
      </c>
      <c r="G2" s="16" t="s">
        <v>131</v>
      </c>
    </row>
    <row r="3" spans="1:7" x14ac:dyDescent="0.35">
      <c r="A3" s="16" t="s">
        <v>18</v>
      </c>
      <c r="B3" s="16" t="s">
        <v>47</v>
      </c>
      <c r="C3" s="23">
        <v>200</v>
      </c>
      <c r="D3" s="23">
        <v>1200000</v>
      </c>
      <c r="E3" s="17">
        <v>10000</v>
      </c>
      <c r="F3" s="17">
        <f t="shared" si="0"/>
        <v>24000</v>
      </c>
      <c r="G3" s="16" t="s">
        <v>132</v>
      </c>
    </row>
    <row r="4" spans="1:7" x14ac:dyDescent="0.35">
      <c r="A4" s="16" t="s">
        <v>18</v>
      </c>
      <c r="B4" s="16" t="s">
        <v>50</v>
      </c>
      <c r="C4" s="23">
        <v>100</v>
      </c>
      <c r="D4" s="23">
        <v>600000</v>
      </c>
      <c r="E4" s="17">
        <v>10000</v>
      </c>
      <c r="F4" s="17">
        <f t="shared" si="0"/>
        <v>6000</v>
      </c>
      <c r="G4" s="16" t="s">
        <v>133</v>
      </c>
    </row>
    <row r="5" spans="1:7" x14ac:dyDescent="0.35">
      <c r="A5" s="16" t="s">
        <v>18</v>
      </c>
      <c r="B5" s="16" t="s">
        <v>134</v>
      </c>
      <c r="C5" s="23">
        <v>2000</v>
      </c>
      <c r="D5" s="23">
        <v>12000000</v>
      </c>
      <c r="E5" s="17">
        <v>10000</v>
      </c>
      <c r="F5" s="17">
        <f t="shared" si="0"/>
        <v>2400000</v>
      </c>
      <c r="G5" s="16" t="s">
        <v>135</v>
      </c>
    </row>
    <row r="6" spans="1:7" x14ac:dyDescent="0.35">
      <c r="A6" s="16" t="s">
        <v>18</v>
      </c>
      <c r="B6" s="16" t="s">
        <v>136</v>
      </c>
      <c r="C6" s="23">
        <v>2500</v>
      </c>
      <c r="D6" s="23">
        <v>15000000</v>
      </c>
      <c r="E6" s="17">
        <v>10000</v>
      </c>
      <c r="F6" s="17">
        <f t="shared" si="0"/>
        <v>3750000</v>
      </c>
      <c r="G6" s="16" t="s">
        <v>137</v>
      </c>
    </row>
    <row r="7" spans="1:7" x14ac:dyDescent="0.35">
      <c r="A7" s="16" t="s">
        <v>18</v>
      </c>
      <c r="B7" s="16" t="s">
        <v>58</v>
      </c>
      <c r="C7" s="23">
        <v>100</v>
      </c>
      <c r="D7" s="23">
        <v>600000</v>
      </c>
      <c r="E7" s="17">
        <v>10000</v>
      </c>
      <c r="F7" s="17">
        <f t="shared" si="0"/>
        <v>6000</v>
      </c>
      <c r="G7" s="16" t="s">
        <v>132</v>
      </c>
    </row>
    <row r="8" spans="1:7" x14ac:dyDescent="0.35">
      <c r="A8" s="16" t="s">
        <v>25</v>
      </c>
      <c r="B8" s="16" t="s">
        <v>130</v>
      </c>
      <c r="C8" s="23">
        <v>180</v>
      </c>
      <c r="D8" s="23">
        <v>240000</v>
      </c>
      <c r="E8" s="17">
        <v>800</v>
      </c>
      <c r="F8" s="17">
        <f t="shared" si="0"/>
        <v>54000</v>
      </c>
      <c r="G8" s="16" t="s">
        <v>138</v>
      </c>
    </row>
    <row r="9" spans="1:7" x14ac:dyDescent="0.35">
      <c r="A9" s="12" t="s">
        <v>25</v>
      </c>
      <c r="B9" s="12" t="s">
        <v>47</v>
      </c>
      <c r="C9" s="26">
        <v>100</v>
      </c>
      <c r="D9" s="26">
        <v>240000</v>
      </c>
      <c r="E9" s="13">
        <v>800</v>
      </c>
      <c r="F9" s="13">
        <f t="shared" si="0"/>
        <v>30000</v>
      </c>
      <c r="G9" s="12"/>
    </row>
    <row r="10" spans="1:7" x14ac:dyDescent="0.35">
      <c r="A10" s="12" t="s">
        <v>25</v>
      </c>
      <c r="B10" s="12" t="s">
        <v>50</v>
      </c>
      <c r="C10" s="26">
        <v>90</v>
      </c>
      <c r="D10" s="26">
        <v>156000</v>
      </c>
      <c r="E10" s="13">
        <v>800</v>
      </c>
      <c r="F10" s="13">
        <f t="shared" si="0"/>
        <v>17550</v>
      </c>
      <c r="G10" s="12"/>
    </row>
    <row r="11" spans="1:7" x14ac:dyDescent="0.35">
      <c r="A11" s="12" t="s">
        <v>25</v>
      </c>
      <c r="B11" s="12" t="s">
        <v>134</v>
      </c>
      <c r="C11" s="26">
        <v>350</v>
      </c>
      <c r="D11" s="26">
        <v>480000</v>
      </c>
      <c r="E11" s="13">
        <v>800</v>
      </c>
      <c r="F11" s="13">
        <f t="shared" si="0"/>
        <v>210000</v>
      </c>
      <c r="G11" s="12"/>
    </row>
    <row r="12" spans="1:7" x14ac:dyDescent="0.35">
      <c r="A12" s="12" t="s">
        <v>25</v>
      </c>
      <c r="B12" s="12" t="s">
        <v>136</v>
      </c>
      <c r="C12" s="26">
        <v>200</v>
      </c>
      <c r="D12" s="26">
        <v>240000</v>
      </c>
      <c r="E12" s="13">
        <v>800</v>
      </c>
      <c r="F12" s="13">
        <f t="shared" si="0"/>
        <v>60000</v>
      </c>
      <c r="G12" s="12"/>
    </row>
    <row r="13" spans="1:7" x14ac:dyDescent="0.35">
      <c r="A13" s="12" t="s">
        <v>25</v>
      </c>
      <c r="B13" s="12" t="s">
        <v>58</v>
      </c>
      <c r="C13" s="26">
        <v>100</v>
      </c>
      <c r="D13" s="26">
        <v>156000</v>
      </c>
      <c r="E13" s="13">
        <v>800</v>
      </c>
      <c r="F13" s="13">
        <f t="shared" si="0"/>
        <v>19500</v>
      </c>
      <c r="G13" s="12"/>
    </row>
    <row r="14" spans="1:7" x14ac:dyDescent="0.35">
      <c r="A14" s="16" t="s">
        <v>31</v>
      </c>
      <c r="B14" s="16" t="s">
        <v>130</v>
      </c>
      <c r="C14" s="23">
        <v>90</v>
      </c>
      <c r="D14" s="23">
        <v>120000</v>
      </c>
      <c r="E14" s="17">
        <v>800</v>
      </c>
      <c r="F14" s="17">
        <f t="shared" si="0"/>
        <v>13500</v>
      </c>
      <c r="G14" s="16" t="s">
        <v>139</v>
      </c>
    </row>
    <row r="15" spans="1:7" x14ac:dyDescent="0.35">
      <c r="A15" s="16" t="s">
        <v>31</v>
      </c>
      <c r="B15" s="16" t="s">
        <v>47</v>
      </c>
      <c r="C15" s="23">
        <v>100</v>
      </c>
      <c r="D15" s="23">
        <v>120000</v>
      </c>
      <c r="E15" s="17">
        <v>800</v>
      </c>
      <c r="F15" s="17">
        <f t="shared" si="0"/>
        <v>15000</v>
      </c>
      <c r="G15" s="16" t="s">
        <v>140</v>
      </c>
    </row>
    <row r="16" spans="1:7" x14ac:dyDescent="0.35">
      <c r="A16" s="16" t="s">
        <v>31</v>
      </c>
      <c r="B16" s="16" t="s">
        <v>50</v>
      </c>
      <c r="C16" s="23">
        <v>120</v>
      </c>
      <c r="D16" s="23">
        <v>144000</v>
      </c>
      <c r="E16" s="17">
        <v>800</v>
      </c>
      <c r="F16" s="17">
        <f t="shared" si="0"/>
        <v>21600</v>
      </c>
      <c r="G16" s="16" t="s">
        <v>141</v>
      </c>
    </row>
    <row r="17" spans="1:7" x14ac:dyDescent="0.35">
      <c r="A17" s="16" t="s">
        <v>31</v>
      </c>
      <c r="B17" s="16" t="s">
        <v>134</v>
      </c>
      <c r="C17" s="23">
        <v>90</v>
      </c>
      <c r="D17" s="23">
        <v>120000</v>
      </c>
      <c r="E17" s="17">
        <v>800</v>
      </c>
      <c r="F17" s="17">
        <f t="shared" si="0"/>
        <v>13500</v>
      </c>
      <c r="G17" s="16" t="s">
        <v>142</v>
      </c>
    </row>
    <row r="18" spans="1:7" x14ac:dyDescent="0.35">
      <c r="A18" s="16" t="s">
        <v>31</v>
      </c>
      <c r="B18" s="16" t="s">
        <v>136</v>
      </c>
      <c r="C18" s="23">
        <v>200</v>
      </c>
      <c r="D18" s="23">
        <v>240000</v>
      </c>
      <c r="E18" s="17">
        <v>800</v>
      </c>
      <c r="F18" s="17">
        <f t="shared" si="0"/>
        <v>60000</v>
      </c>
      <c r="G18" s="16" t="s">
        <v>143</v>
      </c>
    </row>
    <row r="19" spans="1:7" x14ac:dyDescent="0.35">
      <c r="A19" s="16" t="s">
        <v>31</v>
      </c>
      <c r="B19" s="16" t="s">
        <v>58</v>
      </c>
      <c r="C19" s="23">
        <v>90</v>
      </c>
      <c r="D19" s="23">
        <v>120000</v>
      </c>
      <c r="E19" s="17">
        <v>800</v>
      </c>
      <c r="F19" s="17">
        <f t="shared" si="0"/>
        <v>13500</v>
      </c>
      <c r="G19" s="16" t="s">
        <v>142</v>
      </c>
    </row>
  </sheetData>
  <pageMargins left="0.75" right="0.75" top="1" bottom="1" header="0.511811023622047" footer="0.511811023622047"/>
  <pageSetup paperSize="9" orientation="portrait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22"/>
  <sheetViews>
    <sheetView zoomScaleNormal="100" workbookViewId="0">
      <pane ySplit="1" topLeftCell="A7" activePane="bottomLeft" state="frozen"/>
      <selection pane="bottomLeft" activeCell="C14" sqref="C14"/>
    </sheetView>
  </sheetViews>
  <sheetFormatPr defaultColWidth="8.6328125" defaultRowHeight="14.5" x14ac:dyDescent="0.35"/>
  <cols>
    <col min="1" max="1" width="22" customWidth="1"/>
    <col min="2" max="2" width="26" customWidth="1"/>
    <col min="3" max="4" width="14" customWidth="1"/>
    <col min="5" max="5" width="13" customWidth="1"/>
    <col min="6" max="6" width="18" customWidth="1"/>
    <col min="7" max="7" width="50" customWidth="1"/>
  </cols>
  <sheetData>
    <row r="1" spans="1:7" ht="26" x14ac:dyDescent="0.35">
      <c r="A1" s="11" t="s">
        <v>0</v>
      </c>
      <c r="B1" s="11" t="s">
        <v>73</v>
      </c>
      <c r="C1" s="11" t="s">
        <v>105</v>
      </c>
      <c r="D1" s="11" t="s">
        <v>144</v>
      </c>
      <c r="E1" s="11" t="s">
        <v>145</v>
      </c>
      <c r="F1" s="11" t="s">
        <v>81</v>
      </c>
      <c r="G1" s="11" t="s">
        <v>17</v>
      </c>
    </row>
    <row r="2" spans="1:7" x14ac:dyDescent="0.35">
      <c r="A2" s="12" t="s">
        <v>18</v>
      </c>
      <c r="B2" s="12" t="s">
        <v>146</v>
      </c>
      <c r="C2" s="13">
        <v>120000</v>
      </c>
      <c r="D2" s="12" t="s">
        <v>147</v>
      </c>
      <c r="E2" s="15">
        <f>IF(D2="Floor space",SUMIFS(Space!$C:$C,Space!$A:$A,$A2)/INDEX(Facility!$Q:$Q,MATCH($A2,Facility!$A:$A,0)),IF(D2="CRD volume",INDEX(Facility!$M:$M,MATCH($A2,Facility!$A:$A,0))/INDEX(Facility!$I:$I,MATCH($A2,Facility!$A:$A,0)),AVERAGEIFS(Staff!$I:$I,Staff!$A:$A,$A2)))</f>
        <v>0.5</v>
      </c>
      <c r="F2" s="13">
        <f t="shared" ref="F2:F22" si="0">C2*E2</f>
        <v>60000</v>
      </c>
      <c r="G2" s="12"/>
    </row>
    <row r="3" spans="1:7" x14ac:dyDescent="0.35">
      <c r="A3" s="12" t="s">
        <v>18</v>
      </c>
      <c r="B3" s="12" t="s">
        <v>148</v>
      </c>
      <c r="C3" s="13">
        <v>60000</v>
      </c>
      <c r="D3" s="12" t="s">
        <v>147</v>
      </c>
      <c r="E3" s="15">
        <f>IF(D3="Floor space",SUMIFS(Space!$C:$C,Space!$A:$A,$A3)/INDEX(Facility!$Q:$Q,MATCH($A3,Facility!$A:$A,0)),IF(D3="CRD volume",INDEX(Facility!$M:$M,MATCH($A3,Facility!$A:$A,0))/INDEX(Facility!$I:$I,MATCH($A3,Facility!$A:$A,0)),AVERAGEIFS(Staff!$I:$I,Staff!$A:$A,$A3)))</f>
        <v>0.5</v>
      </c>
      <c r="F3" s="13">
        <f t="shared" si="0"/>
        <v>30000</v>
      </c>
      <c r="G3" s="12"/>
    </row>
    <row r="4" spans="1:7" x14ac:dyDescent="0.35">
      <c r="A4" s="12" t="s">
        <v>18</v>
      </c>
      <c r="B4" s="12" t="s">
        <v>149</v>
      </c>
      <c r="C4" s="13">
        <v>240000</v>
      </c>
      <c r="D4" s="12" t="s">
        <v>147</v>
      </c>
      <c r="E4" s="15">
        <f>IF(D4="Floor space",SUMIFS(Space!$C:$C,Space!$A:$A,$A4)/INDEX(Facility!$Q:$Q,MATCH($A4,Facility!$A:$A,0)),IF(D4="CRD volume",INDEX(Facility!$M:$M,MATCH($A4,Facility!$A:$A,0))/INDEX(Facility!$I:$I,MATCH($A4,Facility!$A:$A,0)),AVERAGEIFS(Staff!$I:$I,Staff!$A:$A,$A4)))</f>
        <v>0.5</v>
      </c>
      <c r="F4" s="13">
        <f t="shared" si="0"/>
        <v>120000</v>
      </c>
      <c r="G4" s="12"/>
    </row>
    <row r="5" spans="1:7" x14ac:dyDescent="0.35">
      <c r="A5" s="12" t="s">
        <v>18</v>
      </c>
      <c r="B5" s="12" t="s">
        <v>150</v>
      </c>
      <c r="C5" s="13">
        <v>120000</v>
      </c>
      <c r="D5" s="12" t="s">
        <v>151</v>
      </c>
      <c r="E5" s="15">
        <f>IF(D5="Floor space",SUMIFS(Space!$C:$C,Space!$A:$A,$A5)/INDEX(Facility!$Q:$Q,MATCH($A5,Facility!$A:$A,0)),IF(D5="CRD volume",INDEX(Facility!$M:$M,MATCH($A5,Facility!$A:$A,0))/INDEX(Facility!$I:$I,MATCH($A5,Facility!$A:$A,0)),AVERAGEIFS(Staff!$I:$I,Staff!$A:$A,$A5)))</f>
        <v>4.2500000000000003E-2</v>
      </c>
      <c r="F5" s="13">
        <f t="shared" si="0"/>
        <v>5100</v>
      </c>
      <c r="G5" s="12"/>
    </row>
    <row r="6" spans="1:7" x14ac:dyDescent="0.35">
      <c r="A6" s="12" t="s">
        <v>18</v>
      </c>
      <c r="B6" s="12" t="s">
        <v>152</v>
      </c>
      <c r="C6" s="13">
        <v>400000</v>
      </c>
      <c r="D6" s="12" t="s">
        <v>147</v>
      </c>
      <c r="E6" s="15">
        <f>IF(D6="Floor space",SUMIFS(Space!$C:$C,Space!$A:$A,$A6)/INDEX(Facility!$Q:$Q,MATCH($A6,Facility!$A:$A,0)),IF(D6="CRD volume",INDEX(Facility!$M:$M,MATCH($A6,Facility!$A:$A,0))/INDEX(Facility!$I:$I,MATCH($A6,Facility!$A:$A,0)),AVERAGEIFS(Staff!$I:$I,Staff!$A:$A,$A6)))</f>
        <v>0.5</v>
      </c>
      <c r="F6" s="13">
        <f t="shared" si="0"/>
        <v>200000</v>
      </c>
      <c r="G6" s="12"/>
    </row>
    <row r="7" spans="1:7" x14ac:dyDescent="0.35">
      <c r="A7" s="12" t="s">
        <v>18</v>
      </c>
      <c r="B7" s="12" t="s">
        <v>153</v>
      </c>
      <c r="C7" s="13">
        <v>400000</v>
      </c>
      <c r="D7" s="12" t="s">
        <v>154</v>
      </c>
      <c r="E7" s="15">
        <f>IF(D7="Floor space",SUMIFS(Space!$C:$C,Space!$A:$A,$A7)/INDEX(Facility!$Q:$Q,MATCH($A7,Facility!$A:$A,0)),IF(D7="CRD volume",INDEX(Facility!$M:$M,MATCH($A7,Facility!$A:$A,0))/INDEX(Facility!$I:$I,MATCH($A7,Facility!$A:$A,0)),AVERAGEIFS(Staff!$I:$I,Staff!$A:$A,$A7)))</f>
        <v>0.2857142857142857</v>
      </c>
      <c r="F7" s="13">
        <f t="shared" si="0"/>
        <v>114285.71428571428</v>
      </c>
      <c r="G7" s="12"/>
    </row>
    <row r="8" spans="1:7" x14ac:dyDescent="0.35">
      <c r="A8" s="12" t="s">
        <v>18</v>
      </c>
      <c r="B8" s="12" t="s">
        <v>155</v>
      </c>
      <c r="C8" s="13">
        <v>120000</v>
      </c>
      <c r="D8" s="12" t="s">
        <v>151</v>
      </c>
      <c r="E8" s="15">
        <f>IF(D8="Floor space",SUMIFS(Space!$C:$C,Space!$A:$A,$A8)/INDEX(Facility!$Q:$Q,MATCH($A8,Facility!$A:$A,0)),IF(D8="CRD volume",INDEX(Facility!$M:$M,MATCH($A8,Facility!$A:$A,0))/INDEX(Facility!$I:$I,MATCH($A8,Facility!$A:$A,0)),AVERAGEIFS(Staff!$I:$I,Staff!$A:$A,$A8)))</f>
        <v>4.2500000000000003E-2</v>
      </c>
      <c r="F8" s="13">
        <f t="shared" si="0"/>
        <v>5100</v>
      </c>
      <c r="G8" s="12"/>
    </row>
    <row r="9" spans="1:7" x14ac:dyDescent="0.35">
      <c r="A9" s="12" t="s">
        <v>25</v>
      </c>
      <c r="B9" s="12" t="s">
        <v>146</v>
      </c>
      <c r="C9" s="13">
        <v>540000</v>
      </c>
      <c r="D9" s="12" t="s">
        <v>147</v>
      </c>
      <c r="E9" s="15">
        <f>IF(D9="Floor space",SUMIFS(Space!$C:$C,Space!$A:$A,$A9)/INDEX(Facility!$Q:$Q,MATCH($A9,Facility!$A:$A,0)),IF(D9="CRD volume",INDEX(Facility!$M:$M,MATCH($A9,Facility!$A:$A,0))/INDEX(Facility!$I:$I,MATCH($A9,Facility!$A:$A,0)),AVERAGEIFS(Staff!$I:$I,Staff!$A:$A,$A9)))</f>
        <v>1.2749999999999999</v>
      </c>
      <c r="F9" s="13">
        <f t="shared" si="0"/>
        <v>688500</v>
      </c>
      <c r="G9" s="12"/>
    </row>
    <row r="10" spans="1:7" x14ac:dyDescent="0.35">
      <c r="A10" s="16" t="s">
        <v>25</v>
      </c>
      <c r="B10" s="16" t="s">
        <v>148</v>
      </c>
      <c r="C10" s="23">
        <v>0</v>
      </c>
      <c r="D10" s="16" t="s">
        <v>147</v>
      </c>
      <c r="E10" s="19">
        <f>IF(D10="Floor space",SUMIFS(Space!$C:$C,Space!$A:$A,$A10)/INDEX(Facility!$Q:$Q,MATCH($A10,Facility!$A:$A,0)),IF(D10="CRD volume",INDEX(Facility!$M:$M,MATCH($A10,Facility!$A:$A,0))/INDEX(Facility!$I:$I,MATCH($A10,Facility!$A:$A,0)),AVERAGEIFS(Staff!$I:$I,Staff!$A:$A,$A10)))</f>
        <v>1.2749999999999999</v>
      </c>
      <c r="F10" s="17">
        <f t="shared" si="0"/>
        <v>0</v>
      </c>
      <c r="G10" s="16" t="s">
        <v>156</v>
      </c>
    </row>
    <row r="11" spans="1:7" x14ac:dyDescent="0.35">
      <c r="A11" s="12" t="s">
        <v>25</v>
      </c>
      <c r="B11" s="12" t="s">
        <v>149</v>
      </c>
      <c r="C11" s="13">
        <v>1800000</v>
      </c>
      <c r="D11" s="12" t="s">
        <v>147</v>
      </c>
      <c r="E11" s="15">
        <f>IF(D11="Floor space",SUMIFS(Space!$C:$C,Space!$A:$A,$A11)/INDEX(Facility!$Q:$Q,MATCH($A11,Facility!$A:$A,0)),IF(D11="CRD volume",INDEX(Facility!$M:$M,MATCH($A11,Facility!$A:$A,0))/INDEX(Facility!$I:$I,MATCH($A11,Facility!$A:$A,0)),AVERAGEIFS(Staff!$I:$I,Staff!$A:$A,$A11)))</f>
        <v>1.2749999999999999</v>
      </c>
      <c r="F11" s="13">
        <f t="shared" si="0"/>
        <v>2295000</v>
      </c>
      <c r="G11" s="12"/>
    </row>
    <row r="12" spans="1:7" x14ac:dyDescent="0.35">
      <c r="A12" s="16" t="s">
        <v>25</v>
      </c>
      <c r="B12" s="16" t="s">
        <v>150</v>
      </c>
      <c r="C12" s="23">
        <v>300000</v>
      </c>
      <c r="D12" s="16" t="s">
        <v>151</v>
      </c>
      <c r="E12" s="19">
        <f>IF(D12="Floor space",SUMIFS(Space!$C:$C,Space!$A:$A,$A12)/INDEX(Facility!$Q:$Q,MATCH($A12,Facility!$A:$A,0)),IF(D12="CRD volume",INDEX(Facility!$M:$M,MATCH($A12,Facility!$A:$A,0))/INDEX(Facility!$I:$I,MATCH($A12,Facility!$A:$A,0)),AVERAGEIFS(Staff!$I:$I,Staff!$A:$A,$A12)))</f>
        <v>1.3838952581236009E-2</v>
      </c>
      <c r="F12" s="17">
        <f t="shared" si="0"/>
        <v>4151.6857743708024</v>
      </c>
      <c r="G12" s="16" t="s">
        <v>157</v>
      </c>
    </row>
    <row r="13" spans="1:7" x14ac:dyDescent="0.35">
      <c r="A13" s="12" t="s">
        <v>25</v>
      </c>
      <c r="B13" s="12" t="s">
        <v>152</v>
      </c>
      <c r="C13" s="13">
        <v>2400000</v>
      </c>
      <c r="D13" s="12" t="s">
        <v>147</v>
      </c>
      <c r="E13" s="15">
        <f>IF(D13="Floor space",SUMIFS(Space!$C:$C,Space!$A:$A,$A13)/INDEX(Facility!$Q:$Q,MATCH($A13,Facility!$A:$A,0)),IF(D13="CRD volume",INDEX(Facility!$M:$M,MATCH($A13,Facility!$A:$A,0))/INDEX(Facility!$I:$I,MATCH($A13,Facility!$A:$A,0)),AVERAGEIFS(Staff!$I:$I,Staff!$A:$A,$A13)))</f>
        <v>1.2749999999999999</v>
      </c>
      <c r="F13" s="13">
        <f t="shared" si="0"/>
        <v>3060000</v>
      </c>
      <c r="G13" s="12"/>
    </row>
    <row r="14" spans="1:7" x14ac:dyDescent="0.35">
      <c r="A14" s="16" t="s">
        <v>25</v>
      </c>
      <c r="B14" s="16" t="s">
        <v>153</v>
      </c>
      <c r="C14" s="23">
        <v>300000</v>
      </c>
      <c r="D14" s="16" t="s">
        <v>154</v>
      </c>
      <c r="E14" s="19">
        <f>IF(D14="Floor space",SUMIFS(Space!$C:$C,Space!$A:$A,$A14)/INDEX(Facility!$Q:$Q,MATCH($A14,Facility!$A:$A,0)),IF(D14="CRD volume",INDEX(Facility!$M:$M,MATCH($A14,Facility!$A:$A,0))/INDEX(Facility!$I:$I,MATCH($A14,Facility!$A:$A,0)),AVERAGEIFS(Staff!$I:$I,Staff!$A:$A,$A14)))</f>
        <v>0.31497142857142857</v>
      </c>
      <c r="F14" s="17">
        <f t="shared" si="0"/>
        <v>94491.428571428565</v>
      </c>
      <c r="G14" s="16" t="s">
        <v>157</v>
      </c>
    </row>
    <row r="15" spans="1:7" x14ac:dyDescent="0.35">
      <c r="A15" s="12" t="s">
        <v>25</v>
      </c>
      <c r="B15" s="12" t="s">
        <v>155</v>
      </c>
      <c r="C15" s="13">
        <v>400000</v>
      </c>
      <c r="D15" s="12" t="s">
        <v>151</v>
      </c>
      <c r="E15" s="15">
        <f>IF(D15="Floor space",SUMIFS(Space!$C:$C,Space!$A:$A,$A15)/INDEX(Facility!$Q:$Q,MATCH($A15,Facility!$A:$A,0)),IF(D15="CRD volume",INDEX(Facility!$M:$M,MATCH($A15,Facility!$A:$A,0))/INDEX(Facility!$I:$I,MATCH($A15,Facility!$A:$A,0)),AVERAGEIFS(Staff!$I:$I,Staff!$A:$A,$A15)))</f>
        <v>1.3838952581236009E-2</v>
      </c>
      <c r="F15" s="13">
        <f t="shared" si="0"/>
        <v>5535.5810324944032</v>
      </c>
      <c r="G15" s="12"/>
    </row>
    <row r="16" spans="1:7" x14ac:dyDescent="0.35">
      <c r="A16" s="12" t="s">
        <v>31</v>
      </c>
      <c r="B16" s="12" t="s">
        <v>146</v>
      </c>
      <c r="C16" s="13">
        <v>300000</v>
      </c>
      <c r="D16" s="12" t="s">
        <v>147</v>
      </c>
      <c r="E16" s="15">
        <f>IF(D16="Floor space",SUMIFS(Space!$C:$C,Space!$A:$A,$A16)/INDEX(Facility!$Q:$Q,MATCH($A16,Facility!$A:$A,0)),IF(D16="CRD volume",INDEX(Facility!$M:$M,MATCH($A16,Facility!$A:$A,0))/INDEX(Facility!$I:$I,MATCH($A16,Facility!$A:$A,0)),AVERAGEIFS(Staff!$I:$I,Staff!$A:$A,$A16)))</f>
        <v>0.86250000000000004</v>
      </c>
      <c r="F16" s="13">
        <f t="shared" si="0"/>
        <v>258750</v>
      </c>
      <c r="G16" s="12"/>
    </row>
    <row r="17" spans="1:7" x14ac:dyDescent="0.35">
      <c r="A17" s="12" t="s">
        <v>31</v>
      </c>
      <c r="B17" s="12" t="s">
        <v>148</v>
      </c>
      <c r="C17" s="13">
        <v>500000</v>
      </c>
      <c r="D17" s="12" t="s">
        <v>147</v>
      </c>
      <c r="E17" s="15">
        <f>IF(D17="Floor space",SUMIFS(Space!$C:$C,Space!$A:$A,$A17)/INDEX(Facility!$Q:$Q,MATCH($A17,Facility!$A:$A,0)),IF(D17="CRD volume",INDEX(Facility!$M:$M,MATCH($A17,Facility!$A:$A,0))/INDEX(Facility!$I:$I,MATCH($A17,Facility!$A:$A,0)),AVERAGEIFS(Staff!$I:$I,Staff!$A:$A,$A17)))</f>
        <v>0.86250000000000004</v>
      </c>
      <c r="F17" s="13">
        <f t="shared" si="0"/>
        <v>431250</v>
      </c>
      <c r="G17" s="12"/>
    </row>
    <row r="18" spans="1:7" x14ac:dyDescent="0.35">
      <c r="A18" s="12" t="s">
        <v>31</v>
      </c>
      <c r="B18" s="12" t="s">
        <v>149</v>
      </c>
      <c r="C18" s="13">
        <v>300000</v>
      </c>
      <c r="D18" s="12" t="s">
        <v>147</v>
      </c>
      <c r="E18" s="15">
        <f>IF(D18="Floor space",SUMIFS(Space!$C:$C,Space!$A:$A,$A18)/INDEX(Facility!$Q:$Q,MATCH($A18,Facility!$A:$A,0)),IF(D18="CRD volume",INDEX(Facility!$M:$M,MATCH($A18,Facility!$A:$A,0))/INDEX(Facility!$I:$I,MATCH($A18,Facility!$A:$A,0)),AVERAGEIFS(Staff!$I:$I,Staff!$A:$A,$A18)))</f>
        <v>0.86250000000000004</v>
      </c>
      <c r="F18" s="13">
        <f t="shared" si="0"/>
        <v>258750</v>
      </c>
      <c r="G18" s="12"/>
    </row>
    <row r="19" spans="1:7" x14ac:dyDescent="0.35">
      <c r="A19" s="12" t="s">
        <v>31</v>
      </c>
      <c r="B19" s="12" t="s">
        <v>150</v>
      </c>
      <c r="C19" s="13">
        <v>150000</v>
      </c>
      <c r="D19" s="12" t="s">
        <v>151</v>
      </c>
      <c r="E19" s="15">
        <f>IF(D19="Floor space",SUMIFS(Space!$C:$C,Space!$A:$A,$A19)/INDEX(Facility!$Q:$Q,MATCH($A19,Facility!$A:$A,0)),IF(D19="CRD volume",INDEX(Facility!$M:$M,MATCH($A19,Facility!$A:$A,0))/INDEX(Facility!$I:$I,MATCH($A19,Facility!$A:$A,0)),AVERAGEIFS(Staff!$I:$I,Staff!$A:$A,$A19)))</f>
        <v>3.1589849818746761E-2</v>
      </c>
      <c r="F19" s="13">
        <f t="shared" si="0"/>
        <v>4738.4774728120137</v>
      </c>
      <c r="G19" s="12"/>
    </row>
    <row r="20" spans="1:7" x14ac:dyDescent="0.35">
      <c r="A20" s="12" t="s">
        <v>31</v>
      </c>
      <c r="B20" s="12" t="s">
        <v>152</v>
      </c>
      <c r="C20" s="13">
        <v>720000</v>
      </c>
      <c r="D20" s="12" t="s">
        <v>147</v>
      </c>
      <c r="E20" s="15">
        <f>IF(D20="Floor space",SUMIFS(Space!$C:$C,Space!$A:$A,$A20)/INDEX(Facility!$Q:$Q,MATCH($A20,Facility!$A:$A,0)),IF(D20="CRD volume",INDEX(Facility!$M:$M,MATCH($A20,Facility!$A:$A,0))/INDEX(Facility!$I:$I,MATCH($A20,Facility!$A:$A,0)),AVERAGEIFS(Staff!$I:$I,Staff!$A:$A,$A20)))</f>
        <v>0.86250000000000004</v>
      </c>
      <c r="F20" s="13">
        <f t="shared" si="0"/>
        <v>621000</v>
      </c>
      <c r="G20" s="12"/>
    </row>
    <row r="21" spans="1:7" x14ac:dyDescent="0.35">
      <c r="A21" s="12" t="s">
        <v>31</v>
      </c>
      <c r="B21" s="12" t="s">
        <v>153</v>
      </c>
      <c r="C21" s="13">
        <v>500000</v>
      </c>
      <c r="D21" s="12" t="s">
        <v>154</v>
      </c>
      <c r="E21" s="15">
        <f>IF(D21="Floor space",SUMIFS(Space!$C:$C,Space!$A:$A,$A21)/INDEX(Facility!$Q:$Q,MATCH($A21,Facility!$A:$A,0)),IF(D21="CRD volume",INDEX(Facility!$M:$M,MATCH($A21,Facility!$A:$A,0))/INDEX(Facility!$I:$I,MATCH($A21,Facility!$A:$A,0)),AVERAGEIFS(Staff!$I:$I,Staff!$A:$A,$A21)))</f>
        <v>0.22857142857142856</v>
      </c>
      <c r="F21" s="13">
        <f t="shared" si="0"/>
        <v>114285.71428571428</v>
      </c>
      <c r="G21" s="12"/>
    </row>
    <row r="22" spans="1:7" x14ac:dyDescent="0.35">
      <c r="A22" s="12" t="s">
        <v>31</v>
      </c>
      <c r="B22" s="12" t="s">
        <v>155</v>
      </c>
      <c r="C22" s="13">
        <v>120000</v>
      </c>
      <c r="D22" s="12" t="s">
        <v>151</v>
      </c>
      <c r="E22" s="15">
        <f>IF(D22="Floor space",SUMIFS(Space!$C:$C,Space!$A:$A,$A22)/INDEX(Facility!$Q:$Q,MATCH($A22,Facility!$A:$A,0)),IF(D22="CRD volume",INDEX(Facility!$M:$M,MATCH($A22,Facility!$A:$A,0))/INDEX(Facility!$I:$I,MATCH($A22,Facility!$A:$A,0)),AVERAGEIFS(Staff!$I:$I,Staff!$A:$A,$A22)))</f>
        <v>3.1589849818746761E-2</v>
      </c>
      <c r="F22" s="13">
        <f t="shared" si="0"/>
        <v>3790.7819782496113</v>
      </c>
      <c r="G22" s="12"/>
    </row>
  </sheetData>
  <pageMargins left="0.75" right="0.75" top="1" bottom="1" header="0.511811023622047" footer="0.511811023622047"/>
  <pageSetup paperSize="9" orientation="portrait" horizontalDpi="300" verticalDpi="3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19"/>
  <sheetViews>
    <sheetView tabSelected="1" zoomScaleNormal="100" workbookViewId="0">
      <pane ySplit="1" topLeftCell="A8" activePane="bottomLeft" state="frozen"/>
      <selection pane="bottomLeft" activeCell="G22" sqref="G22"/>
    </sheetView>
  </sheetViews>
  <sheetFormatPr defaultColWidth="8.6328125" defaultRowHeight="14.5" x14ac:dyDescent="0.35"/>
  <cols>
    <col min="1" max="1" width="22" customWidth="1"/>
    <col min="2" max="2" width="32" customWidth="1"/>
    <col min="3" max="3" width="18" customWidth="1"/>
    <col min="4" max="4" width="9" customWidth="1"/>
    <col min="5" max="5" width="13" customWidth="1"/>
    <col min="6" max="6" width="14" customWidth="1"/>
    <col min="7" max="7" width="10" customWidth="1"/>
    <col min="8" max="8" width="16" customWidth="1"/>
    <col min="9" max="9" width="48" customWidth="1"/>
  </cols>
  <sheetData>
    <row r="1" spans="1:9" ht="26" x14ac:dyDescent="0.35">
      <c r="A1" s="11" t="s">
        <v>0</v>
      </c>
      <c r="B1" s="11" t="s">
        <v>158</v>
      </c>
      <c r="C1" s="11" t="s">
        <v>159</v>
      </c>
      <c r="D1" s="11" t="s">
        <v>75</v>
      </c>
      <c r="E1" s="11" t="s">
        <v>160</v>
      </c>
      <c r="F1" s="11" t="s">
        <v>161</v>
      </c>
      <c r="G1" s="11" t="s">
        <v>79</v>
      </c>
      <c r="H1" s="11" t="s">
        <v>162</v>
      </c>
      <c r="I1" s="11" t="s">
        <v>17</v>
      </c>
    </row>
    <row r="2" spans="1:9" x14ac:dyDescent="0.35">
      <c r="A2" s="12" t="s">
        <v>18</v>
      </c>
      <c r="B2" s="12" t="s">
        <v>163</v>
      </c>
      <c r="C2" s="12" t="s">
        <v>164</v>
      </c>
      <c r="D2" s="12">
        <v>5</v>
      </c>
      <c r="E2" s="13">
        <v>40000</v>
      </c>
      <c r="F2" s="13">
        <f t="shared" ref="F2:F19" si="0">D2*E2</f>
        <v>200000</v>
      </c>
      <c r="G2" s="12">
        <v>1</v>
      </c>
      <c r="H2" s="13">
        <f t="shared" ref="H2:H19" si="1">IF(G2&gt;1,F2*0.03/(1-POWER(1.03,-G2)),F2)</f>
        <v>200000</v>
      </c>
      <c r="I2" s="12"/>
    </row>
    <row r="3" spans="1:9" x14ac:dyDescent="0.35">
      <c r="A3" s="12" t="s">
        <v>18</v>
      </c>
      <c r="B3" s="12" t="s">
        <v>165</v>
      </c>
      <c r="C3" s="12" t="s">
        <v>166</v>
      </c>
      <c r="D3" s="12">
        <v>5</v>
      </c>
      <c r="E3" s="13">
        <v>40000</v>
      </c>
      <c r="F3" s="13">
        <f t="shared" si="0"/>
        <v>200000</v>
      </c>
      <c r="G3" s="12">
        <v>2</v>
      </c>
      <c r="H3" s="13">
        <f t="shared" si="1"/>
        <v>104522.16748768471</v>
      </c>
      <c r="I3" s="12"/>
    </row>
    <row r="4" spans="1:9" x14ac:dyDescent="0.35">
      <c r="A4" s="16" t="s">
        <v>18</v>
      </c>
      <c r="B4" s="16" t="s">
        <v>167</v>
      </c>
      <c r="C4" s="16"/>
      <c r="D4" s="16">
        <v>1</v>
      </c>
      <c r="E4" s="17">
        <v>0</v>
      </c>
      <c r="F4" s="17">
        <f t="shared" si="0"/>
        <v>0</v>
      </c>
      <c r="G4" s="16">
        <v>1</v>
      </c>
      <c r="H4" s="17">
        <f t="shared" si="1"/>
        <v>0</v>
      </c>
      <c r="I4" s="16" t="s">
        <v>168</v>
      </c>
    </row>
    <row r="5" spans="1:9" x14ac:dyDescent="0.35">
      <c r="A5" s="12" t="s">
        <v>18</v>
      </c>
      <c r="B5" s="12" t="s">
        <v>169</v>
      </c>
      <c r="C5" s="12"/>
      <c r="D5" s="12">
        <v>1</v>
      </c>
      <c r="E5" s="13">
        <v>100000</v>
      </c>
      <c r="F5" s="13">
        <f t="shared" si="0"/>
        <v>100000</v>
      </c>
      <c r="G5" s="12">
        <v>1</v>
      </c>
      <c r="H5" s="13">
        <f t="shared" si="1"/>
        <v>100000</v>
      </c>
      <c r="I5" s="12"/>
    </row>
    <row r="6" spans="1:9" x14ac:dyDescent="0.35">
      <c r="A6" s="12" t="s">
        <v>18</v>
      </c>
      <c r="B6" s="12" t="s">
        <v>170</v>
      </c>
      <c r="C6" s="12"/>
      <c r="D6" s="12">
        <v>1</v>
      </c>
      <c r="E6" s="13">
        <v>1000000</v>
      </c>
      <c r="F6" s="13">
        <f t="shared" si="0"/>
        <v>1000000</v>
      </c>
      <c r="G6" s="12">
        <v>3</v>
      </c>
      <c r="H6" s="13">
        <f t="shared" si="1"/>
        <v>353530.36332459818</v>
      </c>
      <c r="I6" s="12"/>
    </row>
    <row r="7" spans="1:9" x14ac:dyDescent="0.35">
      <c r="A7" s="12" t="s">
        <v>18</v>
      </c>
      <c r="B7" s="12" t="s">
        <v>171</v>
      </c>
      <c r="C7" s="12"/>
      <c r="D7" s="12">
        <v>1</v>
      </c>
      <c r="E7" s="13">
        <v>0</v>
      </c>
      <c r="F7" s="13">
        <f t="shared" si="0"/>
        <v>0</v>
      </c>
      <c r="G7" s="12">
        <v>1</v>
      </c>
      <c r="H7" s="13">
        <f t="shared" si="1"/>
        <v>0</v>
      </c>
      <c r="I7" s="12"/>
    </row>
    <row r="8" spans="1:9" x14ac:dyDescent="0.35">
      <c r="A8" s="16" t="s">
        <v>25</v>
      </c>
      <c r="B8" s="16" t="s">
        <v>163</v>
      </c>
      <c r="C8" s="16" t="s">
        <v>172</v>
      </c>
      <c r="D8" s="16">
        <v>2</v>
      </c>
      <c r="E8" s="17">
        <v>0</v>
      </c>
      <c r="F8" s="17">
        <f t="shared" si="0"/>
        <v>0</v>
      </c>
      <c r="G8" s="16">
        <v>1</v>
      </c>
      <c r="H8" s="17">
        <f t="shared" si="1"/>
        <v>0</v>
      </c>
      <c r="I8" s="16" t="s">
        <v>173</v>
      </c>
    </row>
    <row r="9" spans="1:9" x14ac:dyDescent="0.35">
      <c r="A9" s="16" t="s">
        <v>25</v>
      </c>
      <c r="B9" s="16" t="s">
        <v>165</v>
      </c>
      <c r="C9" s="16" t="s">
        <v>172</v>
      </c>
      <c r="D9" s="16">
        <v>1</v>
      </c>
      <c r="E9" s="17">
        <v>0</v>
      </c>
      <c r="F9" s="17">
        <f t="shared" si="0"/>
        <v>0</v>
      </c>
      <c r="G9" s="16">
        <v>2</v>
      </c>
      <c r="H9" s="17">
        <f t="shared" si="1"/>
        <v>0</v>
      </c>
      <c r="I9" s="16" t="s">
        <v>174</v>
      </c>
    </row>
    <row r="10" spans="1:9" x14ac:dyDescent="0.35">
      <c r="A10" s="16" t="s">
        <v>25</v>
      </c>
      <c r="B10" s="16" t="s">
        <v>175</v>
      </c>
      <c r="C10" s="16"/>
      <c r="D10" s="16">
        <v>1</v>
      </c>
      <c r="E10" s="17">
        <v>0</v>
      </c>
      <c r="F10" s="17">
        <f t="shared" si="0"/>
        <v>0</v>
      </c>
      <c r="G10" s="16">
        <v>1</v>
      </c>
      <c r="H10" s="17">
        <f t="shared" si="1"/>
        <v>0</v>
      </c>
      <c r="I10" s="16" t="s">
        <v>176</v>
      </c>
    </row>
    <row r="11" spans="1:9" x14ac:dyDescent="0.35">
      <c r="A11" s="12" t="s">
        <v>25</v>
      </c>
      <c r="B11" s="12" t="s">
        <v>169</v>
      </c>
      <c r="C11" s="12"/>
      <c r="D11" s="12">
        <v>1</v>
      </c>
      <c r="E11" s="13">
        <v>0</v>
      </c>
      <c r="F11" s="13">
        <f t="shared" si="0"/>
        <v>0</v>
      </c>
      <c r="G11" s="12">
        <v>1</v>
      </c>
      <c r="H11" s="13">
        <f t="shared" si="1"/>
        <v>0</v>
      </c>
      <c r="I11" s="12"/>
    </row>
    <row r="12" spans="1:9" x14ac:dyDescent="0.35">
      <c r="A12" s="12" t="s">
        <v>25</v>
      </c>
      <c r="B12" s="12" t="s">
        <v>170</v>
      </c>
      <c r="C12" s="12"/>
      <c r="D12" s="12">
        <v>1</v>
      </c>
      <c r="E12" s="13">
        <v>0</v>
      </c>
      <c r="F12" s="13">
        <f t="shared" si="0"/>
        <v>0</v>
      </c>
      <c r="G12" s="12">
        <v>3</v>
      </c>
      <c r="H12" s="13">
        <f t="shared" si="1"/>
        <v>0</v>
      </c>
      <c r="I12" s="12"/>
    </row>
    <row r="13" spans="1:9" x14ac:dyDescent="0.35">
      <c r="A13" s="12" t="s">
        <v>25</v>
      </c>
      <c r="B13" s="12" t="s">
        <v>171</v>
      </c>
      <c r="C13" s="12"/>
      <c r="D13" s="12">
        <v>1</v>
      </c>
      <c r="E13" s="13">
        <v>0</v>
      </c>
      <c r="F13" s="13">
        <f t="shared" si="0"/>
        <v>0</v>
      </c>
      <c r="G13" s="12">
        <v>1</v>
      </c>
      <c r="H13" s="13">
        <f t="shared" si="1"/>
        <v>0</v>
      </c>
      <c r="I13" s="12"/>
    </row>
    <row r="14" spans="1:9" x14ac:dyDescent="0.35">
      <c r="A14" s="12" t="s">
        <v>31</v>
      </c>
      <c r="B14" s="12" t="s">
        <v>163</v>
      </c>
      <c r="C14" s="12" t="s">
        <v>164</v>
      </c>
      <c r="D14" s="12">
        <v>1</v>
      </c>
      <c r="E14" s="13">
        <v>50000</v>
      </c>
      <c r="F14" s="13">
        <f t="shared" si="0"/>
        <v>50000</v>
      </c>
      <c r="G14" s="12">
        <v>1</v>
      </c>
      <c r="H14" s="13">
        <f t="shared" si="1"/>
        <v>50000</v>
      </c>
      <c r="I14" s="12"/>
    </row>
    <row r="15" spans="1:9" x14ac:dyDescent="0.35">
      <c r="A15" s="12" t="s">
        <v>31</v>
      </c>
      <c r="B15" s="12" t="s">
        <v>165</v>
      </c>
      <c r="C15" s="12" t="s">
        <v>164</v>
      </c>
      <c r="D15" s="12">
        <v>1</v>
      </c>
      <c r="E15" s="13">
        <v>50000</v>
      </c>
      <c r="F15" s="13">
        <f t="shared" si="0"/>
        <v>50000</v>
      </c>
      <c r="G15" s="12">
        <v>2</v>
      </c>
      <c r="H15" s="13">
        <f t="shared" si="1"/>
        <v>26130.541871921178</v>
      </c>
      <c r="I15" s="12"/>
    </row>
    <row r="16" spans="1:9" x14ac:dyDescent="0.35">
      <c r="A16" s="12" t="s">
        <v>31</v>
      </c>
      <c r="B16" s="12" t="s">
        <v>177</v>
      </c>
      <c r="C16" s="12"/>
      <c r="D16" s="12">
        <v>1</v>
      </c>
      <c r="E16" s="13">
        <v>10000</v>
      </c>
      <c r="F16" s="13">
        <f t="shared" si="0"/>
        <v>10000</v>
      </c>
      <c r="G16" s="12">
        <v>1</v>
      </c>
      <c r="H16" s="13">
        <f t="shared" si="1"/>
        <v>10000</v>
      </c>
      <c r="I16" s="12"/>
    </row>
    <row r="17" spans="1:9" x14ac:dyDescent="0.35">
      <c r="A17" s="12" t="s">
        <v>31</v>
      </c>
      <c r="B17" s="12" t="s">
        <v>169</v>
      </c>
      <c r="C17" s="12"/>
      <c r="D17" s="12">
        <v>1</v>
      </c>
      <c r="E17" s="13">
        <v>1000</v>
      </c>
      <c r="F17" s="13">
        <f t="shared" si="0"/>
        <v>1000</v>
      </c>
      <c r="G17" s="12">
        <v>1</v>
      </c>
      <c r="H17" s="13">
        <f t="shared" si="1"/>
        <v>1000</v>
      </c>
      <c r="I17" s="12"/>
    </row>
    <row r="18" spans="1:9" x14ac:dyDescent="0.35">
      <c r="A18" s="12" t="s">
        <v>31</v>
      </c>
      <c r="B18" s="12" t="s">
        <v>170</v>
      </c>
      <c r="C18" s="12"/>
      <c r="D18" s="12">
        <v>1</v>
      </c>
      <c r="E18" s="13">
        <v>10000</v>
      </c>
      <c r="F18" s="13">
        <f t="shared" si="0"/>
        <v>10000</v>
      </c>
      <c r="G18" s="12">
        <v>3</v>
      </c>
      <c r="H18" s="13">
        <f t="shared" si="1"/>
        <v>3535.3036332459815</v>
      </c>
      <c r="I18" s="12"/>
    </row>
    <row r="19" spans="1:9" x14ac:dyDescent="0.35">
      <c r="A19" s="12" t="s">
        <v>31</v>
      </c>
      <c r="B19" s="12" t="s">
        <v>171</v>
      </c>
      <c r="C19" s="12"/>
      <c r="D19" s="12">
        <v>1</v>
      </c>
      <c r="E19" s="13">
        <v>5000</v>
      </c>
      <c r="F19" s="13">
        <f t="shared" si="0"/>
        <v>5000</v>
      </c>
      <c r="G19" s="12">
        <v>1</v>
      </c>
      <c r="H19" s="13">
        <f t="shared" si="1"/>
        <v>5000</v>
      </c>
      <c r="I19" s="12"/>
    </row>
  </sheetData>
  <pageMargins left="0.75" right="0.75" top="1" bottom="1" header="0.511811023622047" footer="0.511811023622047"/>
  <pageSetup paperSize="9" orientation="portrait" horizontalDpi="300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31"/>
  <sheetViews>
    <sheetView zoomScaleNormal="100" workbookViewId="0">
      <pane ySplit="1" topLeftCell="A2" activePane="bottomLeft" state="frozen"/>
      <selection pane="bottomLeft" activeCell="E2" sqref="E2"/>
    </sheetView>
  </sheetViews>
  <sheetFormatPr defaultColWidth="8.6328125" defaultRowHeight="14.5" x14ac:dyDescent="0.35"/>
  <cols>
    <col min="1" max="1" width="22" customWidth="1"/>
    <col min="2" max="2" width="32" customWidth="1"/>
    <col min="3" max="4" width="14" customWidth="1"/>
    <col min="5" max="5" width="55.90625" customWidth="1"/>
  </cols>
  <sheetData>
    <row r="1" spans="1:5" ht="26" x14ac:dyDescent="0.35">
      <c r="A1" s="11" t="s">
        <v>0</v>
      </c>
      <c r="B1" s="11" t="s">
        <v>74</v>
      </c>
      <c r="C1" s="11" t="s">
        <v>42</v>
      </c>
      <c r="D1" s="11" t="s">
        <v>178</v>
      </c>
      <c r="E1" s="11" t="s">
        <v>17</v>
      </c>
    </row>
    <row r="2" spans="1:5" x14ac:dyDescent="0.35">
      <c r="A2" s="12" t="s">
        <v>18</v>
      </c>
      <c r="B2" s="12" t="s">
        <v>179</v>
      </c>
      <c r="C2" s="14">
        <v>10</v>
      </c>
      <c r="D2" s="12">
        <v>6</v>
      </c>
      <c r="E2" s="12"/>
    </row>
    <row r="3" spans="1:5" x14ac:dyDescent="0.35">
      <c r="A3" s="12" t="s">
        <v>18</v>
      </c>
      <c r="B3" s="12" t="s">
        <v>180</v>
      </c>
      <c r="C3" s="14">
        <v>10</v>
      </c>
      <c r="D3" s="12">
        <v>7</v>
      </c>
      <c r="E3" s="12"/>
    </row>
    <row r="4" spans="1:5" x14ac:dyDescent="0.35">
      <c r="A4" s="12" t="s">
        <v>18</v>
      </c>
      <c r="B4" s="12" t="s">
        <v>181</v>
      </c>
      <c r="C4" s="14">
        <v>5</v>
      </c>
      <c r="D4" s="12">
        <v>10</v>
      </c>
      <c r="E4" s="12"/>
    </row>
    <row r="5" spans="1:5" x14ac:dyDescent="0.35">
      <c r="A5" s="12" t="s">
        <v>18</v>
      </c>
      <c r="B5" s="12" t="s">
        <v>53</v>
      </c>
      <c r="C5" s="14">
        <v>10</v>
      </c>
      <c r="D5" s="12">
        <v>10</v>
      </c>
      <c r="E5" s="12"/>
    </row>
    <row r="6" spans="1:5" x14ac:dyDescent="0.35">
      <c r="A6" s="12" t="s">
        <v>18</v>
      </c>
      <c r="B6" s="12" t="s">
        <v>56</v>
      </c>
      <c r="C6" s="14">
        <v>10</v>
      </c>
      <c r="D6" s="12">
        <v>10</v>
      </c>
      <c r="E6" s="12"/>
    </row>
    <row r="7" spans="1:5" x14ac:dyDescent="0.35">
      <c r="A7" s="12" t="s">
        <v>18</v>
      </c>
      <c r="B7" s="12" t="s">
        <v>182</v>
      </c>
      <c r="C7" s="14">
        <v>20</v>
      </c>
      <c r="D7" s="12">
        <v>8</v>
      </c>
      <c r="E7" s="12"/>
    </row>
    <row r="8" spans="1:5" x14ac:dyDescent="0.35">
      <c r="A8" s="12" t="s">
        <v>18</v>
      </c>
      <c r="B8" s="12" t="s">
        <v>183</v>
      </c>
      <c r="C8" s="14">
        <v>30</v>
      </c>
      <c r="D8" s="12">
        <v>8</v>
      </c>
      <c r="E8" s="12"/>
    </row>
    <row r="9" spans="1:5" x14ac:dyDescent="0.35">
      <c r="A9" s="12" t="s">
        <v>18</v>
      </c>
      <c r="B9" s="12" t="s">
        <v>184</v>
      </c>
      <c r="C9" s="14">
        <v>30</v>
      </c>
      <c r="D9" s="12">
        <v>8</v>
      </c>
      <c r="E9" s="12"/>
    </row>
    <row r="10" spans="1:5" x14ac:dyDescent="0.35">
      <c r="A10" s="12" t="s">
        <v>18</v>
      </c>
      <c r="B10" s="12" t="s">
        <v>185</v>
      </c>
      <c r="C10" s="14">
        <v>20</v>
      </c>
      <c r="D10" s="12"/>
      <c r="E10" s="12"/>
    </row>
    <row r="11" spans="1:5" x14ac:dyDescent="0.35">
      <c r="A11" s="12" t="s">
        <v>18</v>
      </c>
      <c r="B11" s="12" t="s">
        <v>186</v>
      </c>
      <c r="C11" s="14">
        <v>10</v>
      </c>
      <c r="D11" s="12"/>
      <c r="E11" s="12"/>
    </row>
    <row r="12" spans="1:5" x14ac:dyDescent="0.35">
      <c r="A12" s="12" t="s">
        <v>18</v>
      </c>
      <c r="B12" s="12" t="s">
        <v>187</v>
      </c>
      <c r="C12" s="14">
        <v>5</v>
      </c>
      <c r="D12" s="12"/>
      <c r="E12" s="12"/>
    </row>
    <row r="13" spans="1:5" x14ac:dyDescent="0.35">
      <c r="A13" s="16" t="s">
        <v>25</v>
      </c>
      <c r="B13" s="16" t="s">
        <v>179</v>
      </c>
      <c r="C13" s="18">
        <v>7.5</v>
      </c>
      <c r="D13" s="16">
        <v>5</v>
      </c>
      <c r="E13" s="16" t="s">
        <v>188</v>
      </c>
    </row>
    <row r="14" spans="1:5" x14ac:dyDescent="0.35">
      <c r="A14" s="12" t="s">
        <v>25</v>
      </c>
      <c r="B14" s="12" t="s">
        <v>180</v>
      </c>
      <c r="C14" s="14">
        <v>30</v>
      </c>
      <c r="D14" s="12">
        <v>30</v>
      </c>
      <c r="E14" s="12"/>
    </row>
    <row r="15" spans="1:5" x14ac:dyDescent="0.35">
      <c r="A15" s="16" t="s">
        <v>25</v>
      </c>
      <c r="B15" s="16" t="s">
        <v>181</v>
      </c>
      <c r="C15" s="18">
        <v>7.5</v>
      </c>
      <c r="D15" s="16">
        <v>5</v>
      </c>
      <c r="E15" s="16" t="s">
        <v>188</v>
      </c>
    </row>
    <row r="16" spans="1:5" x14ac:dyDescent="0.35">
      <c r="A16" s="16" t="s">
        <v>25</v>
      </c>
      <c r="B16" s="16" t="s">
        <v>53</v>
      </c>
      <c r="C16" s="18">
        <v>270</v>
      </c>
      <c r="D16" s="16">
        <v>5</v>
      </c>
      <c r="E16" s="16" t="s">
        <v>189</v>
      </c>
    </row>
    <row r="17" spans="1:5" x14ac:dyDescent="0.35">
      <c r="A17" s="12" t="s">
        <v>25</v>
      </c>
      <c r="B17" s="12" t="s">
        <v>182</v>
      </c>
      <c r="C17" s="14">
        <v>15</v>
      </c>
      <c r="D17" s="12">
        <v>8</v>
      </c>
      <c r="E17" s="12"/>
    </row>
    <row r="18" spans="1:5" x14ac:dyDescent="0.35">
      <c r="A18" s="16" t="s">
        <v>25</v>
      </c>
      <c r="B18" s="16" t="s">
        <v>183</v>
      </c>
      <c r="C18" s="18">
        <v>7.5</v>
      </c>
      <c r="D18" s="16">
        <v>8</v>
      </c>
      <c r="E18" s="16" t="s">
        <v>190</v>
      </c>
    </row>
    <row r="19" spans="1:5" x14ac:dyDescent="0.35">
      <c r="A19" s="16" t="s">
        <v>25</v>
      </c>
      <c r="B19" s="16" t="s">
        <v>184</v>
      </c>
      <c r="C19" s="18">
        <v>10</v>
      </c>
      <c r="D19" s="16">
        <v>8</v>
      </c>
      <c r="E19" s="16" t="s">
        <v>191</v>
      </c>
    </row>
    <row r="20" spans="1:5" x14ac:dyDescent="0.35">
      <c r="A20" s="16" t="s">
        <v>25</v>
      </c>
      <c r="B20" s="16" t="s">
        <v>186</v>
      </c>
      <c r="C20" s="18">
        <v>25</v>
      </c>
      <c r="D20" s="16"/>
      <c r="E20" s="16" t="s">
        <v>192</v>
      </c>
    </row>
    <row r="21" spans="1:5" x14ac:dyDescent="0.35">
      <c r="A21" s="16" t="s">
        <v>25</v>
      </c>
      <c r="B21" s="16" t="s">
        <v>187</v>
      </c>
      <c r="C21" s="18">
        <v>20</v>
      </c>
      <c r="D21" s="16"/>
      <c r="E21" s="16" t="s">
        <v>193</v>
      </c>
    </row>
    <row r="22" spans="1:5" x14ac:dyDescent="0.35">
      <c r="A22" s="12" t="s">
        <v>31</v>
      </c>
      <c r="B22" s="12" t="s">
        <v>179</v>
      </c>
      <c r="C22" s="14">
        <v>15</v>
      </c>
      <c r="D22" s="12">
        <v>5</v>
      </c>
      <c r="E22" s="12"/>
    </row>
    <row r="23" spans="1:5" x14ac:dyDescent="0.35">
      <c r="A23" s="12" t="s">
        <v>31</v>
      </c>
      <c r="B23" s="12" t="s">
        <v>180</v>
      </c>
      <c r="C23" s="14">
        <v>10</v>
      </c>
      <c r="D23" s="12">
        <v>5</v>
      </c>
      <c r="E23" s="12"/>
    </row>
    <row r="24" spans="1:5" x14ac:dyDescent="0.35">
      <c r="A24" s="12" t="s">
        <v>31</v>
      </c>
      <c r="B24" s="12" t="s">
        <v>181</v>
      </c>
      <c r="C24" s="14">
        <v>15</v>
      </c>
      <c r="D24" s="12">
        <v>5</v>
      </c>
      <c r="E24" s="12"/>
    </row>
    <row r="25" spans="1:5" x14ac:dyDescent="0.35">
      <c r="A25" s="12" t="s">
        <v>31</v>
      </c>
      <c r="B25" s="12" t="s">
        <v>53</v>
      </c>
      <c r="C25" s="14">
        <v>20</v>
      </c>
      <c r="D25" s="12">
        <v>5</v>
      </c>
      <c r="E25" s="12"/>
    </row>
    <row r="26" spans="1:5" x14ac:dyDescent="0.35">
      <c r="A26" s="12" t="s">
        <v>31</v>
      </c>
      <c r="B26" s="12" t="s">
        <v>182</v>
      </c>
      <c r="C26" s="14">
        <v>5</v>
      </c>
      <c r="D26" s="12">
        <v>5</v>
      </c>
      <c r="E26" s="12"/>
    </row>
    <row r="27" spans="1:5" x14ac:dyDescent="0.35">
      <c r="A27" s="12" t="s">
        <v>31</v>
      </c>
      <c r="B27" s="12" t="s">
        <v>183</v>
      </c>
      <c r="C27" s="14">
        <v>10</v>
      </c>
      <c r="D27" s="12">
        <v>5</v>
      </c>
      <c r="E27" s="12"/>
    </row>
    <row r="28" spans="1:5" x14ac:dyDescent="0.35">
      <c r="A28" s="12" t="s">
        <v>31</v>
      </c>
      <c r="B28" s="12" t="s">
        <v>184</v>
      </c>
      <c r="C28" s="14">
        <v>5</v>
      </c>
      <c r="D28" s="12">
        <v>5</v>
      </c>
      <c r="E28" s="12"/>
    </row>
    <row r="29" spans="1:5" x14ac:dyDescent="0.35">
      <c r="A29" s="12" t="s">
        <v>31</v>
      </c>
      <c r="B29" s="12" t="s">
        <v>185</v>
      </c>
      <c r="C29" s="14">
        <v>5</v>
      </c>
      <c r="D29" s="12"/>
      <c r="E29" s="12"/>
    </row>
    <row r="30" spans="1:5" x14ac:dyDescent="0.35">
      <c r="A30" s="12" t="s">
        <v>31</v>
      </c>
      <c r="B30" s="12" t="s">
        <v>186</v>
      </c>
      <c r="C30" s="14">
        <v>5</v>
      </c>
      <c r="D30" s="12"/>
      <c r="E30" s="12"/>
    </row>
    <row r="31" spans="1:5" x14ac:dyDescent="0.35">
      <c r="A31" s="12" t="s">
        <v>31</v>
      </c>
      <c r="B31" s="12" t="s">
        <v>187</v>
      </c>
      <c r="C31" s="14">
        <v>5</v>
      </c>
      <c r="D31" s="12"/>
      <c r="E31" s="12"/>
    </row>
  </sheetData>
  <pageMargins left="0.75" right="0.75" top="1" bottom="1" header="0.511811023622047" footer="0.511811023622047"/>
  <pageSetup paperSize="9" orientation="portrait" horizontalDpi="300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N5"/>
  <sheetViews>
    <sheetView topLeftCell="D1" zoomScaleNormal="100" workbookViewId="0">
      <pane ySplit="1" topLeftCell="A2" activePane="bottomLeft" state="frozen"/>
      <selection pane="bottomLeft" activeCell="C4" sqref="C4"/>
    </sheetView>
  </sheetViews>
  <sheetFormatPr defaultColWidth="8.6328125" defaultRowHeight="14.5" x14ac:dyDescent="0.35"/>
  <cols>
    <col min="1" max="1" width="22" customWidth="1"/>
    <col min="2" max="3" width="14" customWidth="1"/>
    <col min="4" max="4" width="15" customWidth="1"/>
    <col min="5" max="5" width="12" customWidth="1"/>
    <col min="6" max="6" width="14" customWidth="1"/>
    <col min="7" max="7" width="13" customWidth="1"/>
    <col min="8" max="8" width="19" customWidth="1"/>
    <col min="9" max="9" width="12" customWidth="1"/>
    <col min="10" max="11" width="13" customWidth="1"/>
    <col min="12" max="12" width="16" customWidth="1"/>
    <col min="13" max="13" width="17" customWidth="1"/>
    <col min="14" max="14" width="18" customWidth="1"/>
  </cols>
  <sheetData>
    <row r="1" spans="1:14" ht="26" x14ac:dyDescent="0.35">
      <c r="A1" s="3" t="s">
        <v>0</v>
      </c>
      <c r="B1" s="3" t="s">
        <v>194</v>
      </c>
      <c r="C1" s="3" t="s">
        <v>195</v>
      </c>
      <c r="D1" s="3" t="s">
        <v>196</v>
      </c>
      <c r="E1" s="3" t="s">
        <v>197</v>
      </c>
      <c r="F1" s="3" t="s">
        <v>198</v>
      </c>
      <c r="G1" s="3" t="s">
        <v>199</v>
      </c>
      <c r="H1" s="3" t="s">
        <v>200</v>
      </c>
      <c r="I1" s="3" t="s">
        <v>11</v>
      </c>
      <c r="J1" s="3" t="s">
        <v>10</v>
      </c>
      <c r="K1" s="3" t="s">
        <v>9</v>
      </c>
      <c r="L1" s="3" t="s">
        <v>201</v>
      </c>
      <c r="M1" s="3" t="s">
        <v>202</v>
      </c>
      <c r="N1" s="3" t="s">
        <v>203</v>
      </c>
    </row>
    <row r="2" spans="1:14" x14ac:dyDescent="0.35">
      <c r="A2" s="2" t="s">
        <v>18</v>
      </c>
      <c r="B2" s="4">
        <f>SUMIFS(Staff!$J:$J,Staff!$A:$A,$A2)</f>
        <v>2121600</v>
      </c>
      <c r="C2" s="4">
        <f>SUMIFS(Equipment!$J:$J,Equipment!$A:$A,$A2)</f>
        <v>1228097.8520343862</v>
      </c>
      <c r="D2" s="4">
        <f>SUMIFS(Consumables!$H:$H,Consumables!$A:$A,$A2)</f>
        <v>6235424.0025000004</v>
      </c>
      <c r="E2" s="4">
        <f>SUMIFS(Space!$F:$F,Space!$A:$A,$A2)</f>
        <v>6192000</v>
      </c>
      <c r="F2" s="4">
        <f>SUMIFS(Overheads!$F:$F,Overheads!$A:$A,$A2)</f>
        <v>534485.71428571432</v>
      </c>
      <c r="G2" s="4">
        <f>SUMIFS(Training!$H:$H,Training!$A:$A,$A2)</f>
        <v>758052.53081228281</v>
      </c>
      <c r="H2" s="4">
        <f>SUM(B2:G2)</f>
        <v>17069660.099632386</v>
      </c>
      <c r="I2" s="4">
        <f>INDEX(Facility!$M:$M,MATCH($A2,Facility!$A:$A,0))</f>
        <v>255</v>
      </c>
      <c r="J2" s="4">
        <f>INDEX(Facility!$L:$L,MATCH($A2,Facility!$A:$A,0))</f>
        <v>929</v>
      </c>
      <c r="K2" s="4">
        <f>INDEX(Facility!$J:$J,MATCH($A2,Facility!$A:$A,0))</f>
        <v>3671</v>
      </c>
      <c r="L2" s="4">
        <f>IFERROR(H2/I2,0)</f>
        <v>66939.843527970137</v>
      </c>
      <c r="M2" s="4">
        <f>IFERROR(H2/J2,0)</f>
        <v>18374.230462467585</v>
      </c>
      <c r="N2" s="4">
        <f>IFERROR(H2/K2,0)</f>
        <v>4649.8665485242127</v>
      </c>
    </row>
    <row r="3" spans="1:14" x14ac:dyDescent="0.35">
      <c r="A3" s="2" t="s">
        <v>25</v>
      </c>
      <c r="B3" s="4">
        <f>SUMIFS(Staff!$J:$J,Staff!$A:$A,$A3)</f>
        <v>1363680</v>
      </c>
      <c r="C3" s="4">
        <f>SUMIFS(Equipment!$J:$J,Equipment!$A:$A,$A3)</f>
        <v>579982.14549871825</v>
      </c>
      <c r="D3" s="4">
        <f>SUMIFS(Consumables!$H:$H,Consumables!$A:$A,$A3)</f>
        <v>463071</v>
      </c>
      <c r="E3" s="4">
        <f>SUMIFS(Space!$F:$F,Space!$A:$A,$A3)</f>
        <v>391050</v>
      </c>
      <c r="F3" s="4">
        <f>SUMIFS(Overheads!$F:$F,Overheads!$A:$A,$A3)</f>
        <v>6147678.6953782933</v>
      </c>
      <c r="G3" s="4">
        <f>SUMIFS(Training!$H:$H,Training!$A:$A,$A3)</f>
        <v>0</v>
      </c>
      <c r="H3" s="4">
        <f>SUM(B3:G3)</f>
        <v>8945461.8408770114</v>
      </c>
      <c r="I3" s="4">
        <f>INDEX(Facility!$M:$M,MATCH($A3,Facility!$A:$A,0))</f>
        <v>204</v>
      </c>
      <c r="J3" s="4">
        <f>INDEX(Facility!$L:$L,MATCH($A3,Facility!$A:$A,0))</f>
        <v>1256</v>
      </c>
      <c r="K3" s="4">
        <f>INDEX(Facility!$J:$J,MATCH($A3,Facility!$A:$A,0))</f>
        <v>11930</v>
      </c>
      <c r="L3" s="4">
        <f>IFERROR(H3/I3,0)</f>
        <v>43850.303141553981</v>
      </c>
      <c r="M3" s="4">
        <f>IFERROR(H3/J3,0)</f>
        <v>7122.1829943288303</v>
      </c>
      <c r="N3" s="4">
        <f>IFERROR(H3/K3,0)</f>
        <v>749.82915682120802</v>
      </c>
    </row>
    <row r="4" spans="1:14" x14ac:dyDescent="0.35">
      <c r="A4" s="2" t="s">
        <v>31</v>
      </c>
      <c r="B4" s="4">
        <f>SUMIFS(Staff!$J:$J,Staff!$A:$A,$A4)</f>
        <v>2007000</v>
      </c>
      <c r="C4" s="4">
        <f>SUMIFS(Equipment!$J:$J,Equipment!$A:$A,$A4)</f>
        <v>20409.554679702345</v>
      </c>
      <c r="D4" s="4">
        <f>SUMIFS(Consumables!$H:$H,Consumables!$A:$A,$A4)</f>
        <v>708046.5</v>
      </c>
      <c r="E4" s="4">
        <f>SUMIFS(Space!$F:$F,Space!$A:$A,$A4)</f>
        <v>137100</v>
      </c>
      <c r="F4" s="4">
        <f>SUMIFS(Overheads!$F:$F,Overheads!$A:$A,$A4)</f>
        <v>1692564.9737367758</v>
      </c>
      <c r="G4" s="4">
        <f>SUMIFS(Training!$H:$H,Training!$A:$A,$A4)</f>
        <v>95665.845505167148</v>
      </c>
      <c r="H4" s="4">
        <f>SUM(B4:G4)</f>
        <v>4660786.8739216449</v>
      </c>
      <c r="I4" s="4">
        <f>INDEX(Facility!$M:$M,MATCH($A4,Facility!$A:$A,0))</f>
        <v>366</v>
      </c>
      <c r="J4" s="4">
        <f>INDEX(Facility!$L:$L,MATCH($A4,Facility!$A:$A,0))</f>
        <v>408</v>
      </c>
      <c r="K4" s="4">
        <f>INDEX(Facility!$J:$J,MATCH($A4,Facility!$A:$A,0))</f>
        <v>752</v>
      </c>
      <c r="L4" s="4">
        <f>IFERROR(H4/I4,0)</f>
        <v>12734.390365906134</v>
      </c>
      <c r="M4" s="4">
        <f>IFERROR(H4/J4,0)</f>
        <v>11423.497240004031</v>
      </c>
      <c r="N4" s="4">
        <f>IFERROR(H4/K4,0)</f>
        <v>6197.8548855341023</v>
      </c>
    </row>
    <row r="5" spans="1:14" x14ac:dyDescent="0.35">
      <c r="A5" s="1" t="s">
        <v>204</v>
      </c>
      <c r="B5" s="5">
        <f t="shared" ref="B5:K5" si="0">SUM(B2:B4)</f>
        <v>5492280</v>
      </c>
      <c r="C5" s="5">
        <f t="shared" si="0"/>
        <v>1828489.5522128067</v>
      </c>
      <c r="D5" s="5">
        <f t="shared" si="0"/>
        <v>7406541.5025000004</v>
      </c>
      <c r="E5" s="5">
        <f t="shared" si="0"/>
        <v>6720150</v>
      </c>
      <c r="F5" s="5">
        <f t="shared" si="0"/>
        <v>8374729.3834007839</v>
      </c>
      <c r="G5" s="5">
        <f t="shared" si="0"/>
        <v>853718.37631744996</v>
      </c>
      <c r="H5" s="5">
        <f t="shared" si="0"/>
        <v>30675908.814431041</v>
      </c>
      <c r="I5" s="5">
        <f t="shared" si="0"/>
        <v>825</v>
      </c>
      <c r="J5" s="5">
        <f t="shared" si="0"/>
        <v>2593</v>
      </c>
      <c r="K5" s="5">
        <f t="shared" si="0"/>
        <v>16353</v>
      </c>
      <c r="L5" s="5">
        <f>IFERROR(H5/I5,0)</f>
        <v>37182.91977506793</v>
      </c>
      <c r="M5" s="5">
        <f>IFERROR(H5/J5,0)</f>
        <v>11830.277213432719</v>
      </c>
      <c r="N5" s="5">
        <f>IFERROR(H5/K5,0)</f>
        <v>1875.8581798098844</v>
      </c>
    </row>
  </sheetData>
  <pageMargins left="0.75" right="0.75" top="1" bottom="1" header="0.511811023622047" footer="0.511811023622047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Facility</vt:lpstr>
      <vt:lpstr>Staff</vt:lpstr>
      <vt:lpstr>Equipment</vt:lpstr>
      <vt:lpstr>Consumables</vt:lpstr>
      <vt:lpstr>Space</vt:lpstr>
      <vt:lpstr>Overheads</vt:lpstr>
      <vt:lpstr>Training</vt:lpstr>
      <vt:lpstr>Observations</vt:lpstr>
      <vt:lpstr>CostSummary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Idah</dc:creator>
  <dc:description/>
  <cp:lastModifiedBy>Idah Kinya</cp:lastModifiedBy>
  <cp:revision>0</cp:revision>
  <dcterms:created xsi:type="dcterms:W3CDTF">2026-07-13T14:33:40Z</dcterms:created>
  <dcterms:modified xsi:type="dcterms:W3CDTF">2026-07-23T07:47:33Z</dcterms:modified>
  <dc:language>en-US</dc:language>
</cp:coreProperties>
</file>