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eonida/Downloads/"/>
    </mc:Choice>
  </mc:AlternateContent>
  <xr:revisionPtr revIDLastSave="0" documentId="13_ncr:1_{F37C2241-6A8A-AB48-944E-B41BE1706745}" xr6:coauthVersionLast="47" xr6:coauthVersionMax="47" xr10:uidLastSave="{00000000-0000-0000-0000-000000000000}"/>
  <bookViews>
    <workbookView xWindow="0" yWindow="500" windowWidth="25820" windowHeight="15500" tabRatio="500" activeTab="4" xr2:uid="{00000000-000D-0000-FFFF-FFFF00000000}"/>
  </bookViews>
  <sheets>
    <sheet name="Acerno_Cache_XXXXX" sheetId="6" state="veryHidden" r:id="rId1"/>
    <sheet name="Read Me" sheetId="1" r:id="rId2"/>
    <sheet name="Simulator (manual)" sheetId="2" r:id="rId3"/>
    <sheet name="Threshold Simulator" sheetId="3" r:id="rId4"/>
    <sheet name="Data Splitting Methods" sheetId="4" r:id="rId5"/>
    <sheet name="Split Visualizer" sheetId="5"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5" i="5" l="1"/>
  <c r="Q26" i="5"/>
  <c r="P26" i="5"/>
  <c r="N26" i="5"/>
  <c r="M26" i="5"/>
  <c r="L26" i="5"/>
  <c r="K26" i="5"/>
  <c r="J26" i="5"/>
  <c r="I26" i="5"/>
  <c r="H26" i="5"/>
  <c r="G26" i="5"/>
  <c r="F26" i="5"/>
  <c r="E26" i="5"/>
  <c r="D26" i="5"/>
  <c r="C26" i="5"/>
  <c r="B26" i="5"/>
  <c r="Q25" i="5"/>
  <c r="P25" i="5"/>
  <c r="N25" i="5"/>
  <c r="M25" i="5"/>
  <c r="L25" i="5"/>
  <c r="K25" i="5"/>
  <c r="J25" i="5"/>
  <c r="I25" i="5"/>
  <c r="H25" i="5"/>
  <c r="G25" i="5"/>
  <c r="F25" i="5"/>
  <c r="E25" i="5"/>
  <c r="D25" i="5"/>
  <c r="C25" i="5"/>
  <c r="B25" i="5"/>
  <c r="Q24" i="5"/>
  <c r="P24" i="5"/>
  <c r="N24" i="5"/>
  <c r="M24" i="5"/>
  <c r="L24" i="5"/>
  <c r="K24" i="5"/>
  <c r="J24" i="5"/>
  <c r="I24" i="5"/>
  <c r="H24" i="5"/>
  <c r="G24" i="5"/>
  <c r="F24" i="5"/>
  <c r="E24" i="5"/>
  <c r="D24" i="5"/>
  <c r="C24" i="5"/>
  <c r="B24" i="5"/>
  <c r="Q23" i="5"/>
  <c r="P23" i="5"/>
  <c r="N23" i="5"/>
  <c r="M23" i="5"/>
  <c r="L23" i="5"/>
  <c r="K23" i="5"/>
  <c r="J23" i="5"/>
  <c r="I23" i="5"/>
  <c r="H23" i="5"/>
  <c r="G23" i="5"/>
  <c r="F23" i="5"/>
  <c r="E23" i="5"/>
  <c r="D23" i="5"/>
  <c r="C23" i="5"/>
  <c r="B23" i="5"/>
  <c r="Q22" i="5"/>
  <c r="P22" i="5"/>
  <c r="N22" i="5"/>
  <c r="M22" i="5"/>
  <c r="L22" i="5"/>
  <c r="K22" i="5"/>
  <c r="J22" i="5"/>
  <c r="I22" i="5"/>
  <c r="H22" i="5"/>
  <c r="G22" i="5"/>
  <c r="F22" i="5"/>
  <c r="E22" i="5"/>
  <c r="D22" i="5"/>
  <c r="C22" i="5"/>
  <c r="B22" i="5"/>
  <c r="P21" i="5"/>
  <c r="N21" i="5"/>
  <c r="M21" i="5"/>
  <c r="L21" i="5"/>
  <c r="K21" i="5"/>
  <c r="J21" i="5"/>
  <c r="I21" i="5"/>
  <c r="H21" i="5"/>
  <c r="G21" i="5"/>
  <c r="F21" i="5"/>
  <c r="E21" i="5"/>
  <c r="D21" i="5"/>
  <c r="C21" i="5"/>
  <c r="B21" i="5"/>
  <c r="Q20" i="5"/>
  <c r="N20" i="5"/>
  <c r="M20" i="5"/>
  <c r="L20" i="5"/>
  <c r="K20" i="5"/>
  <c r="J20" i="5"/>
  <c r="I20" i="5"/>
  <c r="H20" i="5"/>
  <c r="G20" i="5"/>
  <c r="F20" i="5"/>
  <c r="E20" i="5"/>
  <c r="D20" i="5"/>
  <c r="C20" i="5"/>
  <c r="B20" i="5"/>
  <c r="Q19" i="5"/>
  <c r="N19" i="5"/>
  <c r="M19" i="5"/>
  <c r="L19" i="5"/>
  <c r="K19" i="5"/>
  <c r="J19" i="5"/>
  <c r="I19" i="5"/>
  <c r="H19" i="5"/>
  <c r="G19" i="5"/>
  <c r="F19" i="5"/>
  <c r="E19" i="5"/>
  <c r="D19" i="5"/>
  <c r="C19" i="5"/>
  <c r="B19" i="5"/>
  <c r="N18" i="5"/>
  <c r="M18" i="5"/>
  <c r="L18" i="5"/>
  <c r="K18" i="5"/>
  <c r="J18" i="5"/>
  <c r="I18" i="5"/>
  <c r="H18" i="5"/>
  <c r="B18" i="5"/>
  <c r="N17" i="5"/>
  <c r="M17" i="5"/>
  <c r="L17" i="5"/>
  <c r="K17" i="5"/>
  <c r="J17" i="5"/>
  <c r="I17" i="5"/>
  <c r="H17" i="5"/>
  <c r="G17" i="5"/>
  <c r="B17" i="5"/>
  <c r="N16" i="5"/>
  <c r="M16" i="5"/>
  <c r="L16" i="5"/>
  <c r="K16" i="5"/>
  <c r="J16" i="5"/>
  <c r="I16" i="5"/>
  <c r="H16" i="5"/>
  <c r="G16" i="5"/>
  <c r="F16" i="5"/>
  <c r="B16" i="5"/>
  <c r="N15" i="5"/>
  <c r="M15" i="5"/>
  <c r="L15" i="5"/>
  <c r="J15" i="5"/>
  <c r="I15" i="5"/>
  <c r="H15" i="5"/>
  <c r="G15" i="5"/>
  <c r="F15" i="5"/>
  <c r="E15" i="5"/>
  <c r="B15" i="5"/>
  <c r="N13" i="5"/>
  <c r="M13" i="5"/>
  <c r="L13" i="5"/>
  <c r="K13" i="5"/>
  <c r="J13" i="5"/>
  <c r="I13" i="5"/>
  <c r="H13" i="5"/>
  <c r="G13" i="5"/>
  <c r="F13" i="5"/>
  <c r="E13" i="5"/>
  <c r="D13" i="5"/>
  <c r="C13" i="5"/>
  <c r="N8" i="5"/>
  <c r="M8" i="5"/>
  <c r="L8" i="5"/>
  <c r="K8" i="5"/>
  <c r="J8" i="5"/>
  <c r="I8" i="5"/>
  <c r="H8" i="5"/>
  <c r="G8" i="5"/>
  <c r="F8" i="5"/>
  <c r="E8" i="5"/>
  <c r="D8" i="5"/>
  <c r="C8" i="5"/>
  <c r="F37" i="3"/>
  <c r="E37" i="3"/>
  <c r="F36" i="3"/>
  <c r="E36" i="3"/>
  <c r="E35" i="3"/>
  <c r="E34" i="3"/>
  <c r="E33" i="3"/>
  <c r="E32" i="3"/>
  <c r="E31" i="3"/>
  <c r="E30" i="3"/>
  <c r="E29" i="3"/>
  <c r="E28" i="3"/>
  <c r="E27" i="3"/>
  <c r="E26" i="3"/>
  <c r="E25" i="3"/>
  <c r="E24" i="3"/>
  <c r="E23" i="3"/>
  <c r="E22" i="3"/>
  <c r="E21" i="3"/>
  <c r="I20" i="3"/>
  <c r="E20" i="3"/>
  <c r="I19" i="3"/>
  <c r="F19" i="3"/>
  <c r="E19" i="3"/>
  <c r="E18" i="3"/>
  <c r="E17" i="3"/>
  <c r="E16" i="3"/>
  <c r="E15" i="3"/>
  <c r="E14" i="3"/>
  <c r="E13" i="3"/>
  <c r="E12" i="3"/>
  <c r="E11" i="3"/>
  <c r="E10" i="3"/>
  <c r="E9" i="3"/>
  <c r="E8" i="3"/>
  <c r="C12" i="2"/>
  <c r="G9" i="2"/>
  <c r="G8" i="2"/>
  <c r="G7" i="2"/>
  <c r="G6" i="2"/>
  <c r="Q21" i="5" l="1"/>
  <c r="G18" i="5"/>
  <c r="F18" i="5"/>
  <c r="E18" i="5"/>
  <c r="D18" i="5"/>
  <c r="C18" i="5"/>
  <c r="F17" i="5"/>
  <c r="E17" i="5"/>
  <c r="D17" i="5"/>
  <c r="C17" i="5"/>
  <c r="E16" i="5"/>
  <c r="D16" i="5"/>
  <c r="C16" i="5"/>
  <c r="D15" i="5"/>
  <c r="C15" i="5"/>
  <c r="Q8" i="5"/>
  <c r="P8" i="5"/>
  <c r="F35" i="3"/>
  <c r="F34" i="3"/>
  <c r="F33" i="3"/>
  <c r="F32" i="3"/>
  <c r="F31" i="3"/>
  <c r="F30" i="3"/>
  <c r="F29" i="3"/>
  <c r="F28" i="3"/>
  <c r="F27" i="3"/>
  <c r="F26" i="3"/>
  <c r="F25" i="3"/>
  <c r="F24" i="3"/>
  <c r="F23" i="3"/>
  <c r="F22" i="3"/>
  <c r="I21" i="3"/>
  <c r="F21" i="3"/>
  <c r="F18" i="3"/>
  <c r="F17" i="3"/>
  <c r="F16" i="3"/>
  <c r="F15" i="3"/>
  <c r="F14" i="3"/>
  <c r="F13" i="3"/>
  <c r="F12" i="3"/>
  <c r="F11" i="3"/>
  <c r="J10" i="3"/>
  <c r="I16" i="3" s="1"/>
  <c r="I9" i="3"/>
  <c r="F20" i="3"/>
  <c r="F10" i="3"/>
  <c r="J9" i="3"/>
  <c r="P20" i="5"/>
  <c r="I10" i="3"/>
  <c r="G10" i="2"/>
  <c r="P19" i="5"/>
  <c r="F9" i="3"/>
  <c r="F8" i="3"/>
  <c r="Q18" i="5" l="1"/>
  <c r="P18" i="5"/>
  <c r="Q17" i="5"/>
  <c r="P17" i="5"/>
  <c r="Q16" i="5"/>
  <c r="P16" i="5"/>
  <c r="Q15" i="5"/>
  <c r="P15" i="5"/>
  <c r="I13" i="3"/>
  <c r="I15" i="3"/>
  <c r="I14" i="3"/>
  <c r="I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0100-000001000000}">
      <text>
        <r>
          <rPr>
            <sz val="10"/>
            <rFont val="Arial"/>
            <family val="2"/>
          </rPr>
          <t>TP — True Positive (editable)</t>
        </r>
      </text>
    </comment>
    <comment ref="D7" authorId="0" shapeId="0" xr:uid="{00000000-0006-0000-0100-000003000000}">
      <text>
        <r>
          <rPr>
            <sz val="10"/>
            <rFont val="Arial"/>
            <family val="2"/>
          </rPr>
          <t>FN — False Negative / miss (editable)</t>
        </r>
      </text>
    </comment>
    <comment ref="C8" authorId="0" shapeId="0" xr:uid="{00000000-0006-0000-0100-000002000000}">
      <text>
        <r>
          <rPr>
            <sz val="10"/>
            <rFont val="Arial"/>
            <family val="2"/>
          </rPr>
          <t>FP — False Positive / false alarm (editable)</t>
        </r>
      </text>
    </comment>
    <comment ref="D8" authorId="0" shapeId="0" xr:uid="{00000000-0006-0000-0100-000004000000}">
      <text>
        <r>
          <rPr>
            <sz val="10"/>
            <rFont val="Arial"/>
            <family val="2"/>
          </rPr>
          <t>TN — True Negative (editable)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5" authorId="0" shapeId="0" xr:uid="{00000000-0006-0000-0200-000001000000}">
      <text>
        <r>
          <rPr>
            <sz val="10"/>
            <rFont val="Arial"/>
            <family val="2"/>
          </rPr>
          <t>Editable. Try values from 0.1 to 0.9 and watch the metrics move.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6" authorId="0" shapeId="0" xr:uid="{00000000-0006-0000-0400-000001000000}">
      <text>
        <r>
          <rPr>
            <sz val="10"/>
            <rFont val="Arial"/>
            <family val="2"/>
          </rPr>
          <t>Editable 0.05–0.5. The last block of samples becomes the test set.</t>
        </r>
      </text>
    </comment>
    <comment ref="C12" authorId="0" shapeId="0" xr:uid="{00000000-0006-0000-0400-000002000000}">
      <text>
        <r>
          <rPr>
            <sz val="10"/>
            <color rgb="FF000000"/>
            <rFont val="Arial"/>
            <family val="2"/>
          </rPr>
          <t>Editable 2–12. k=12 becomes Leave-One-Out CV.</t>
        </r>
      </text>
    </comment>
  </commentList>
</comments>
</file>

<file path=xl/sharedStrings.xml><?xml version="1.0" encoding="utf-8"?>
<sst xmlns="http://schemas.openxmlformats.org/spreadsheetml/2006/main" count="271" uniqueCount="176">
  <si>
    <t>Confusion Matrix — Precision, Recall &amp; F1 Score</t>
  </si>
  <si>
    <t>What this workbook does</t>
  </si>
  <si>
    <t>Two interactive simulators show how a classifier's errors turn into the metrics data scientists actually report. Change the yellow input cells and every metric, chart value and colour recalculates instantly. Nothing is hard-coded — it is all live formulas.</t>
  </si>
  <si>
    <t>The four building blocks (the confusion matrix)</t>
  </si>
  <si>
    <t>TP  True Positive</t>
  </si>
  <si>
    <t>Predicted Positive, and it really was Positive.  A correct hit.</t>
  </si>
  <si>
    <t>TN  True Negative</t>
  </si>
  <si>
    <t>Predicted Negative, and it really was Negative.  A correct rejection.</t>
  </si>
  <si>
    <t>FP  False Positive</t>
  </si>
  <si>
    <t>Predicted Positive, but it was actually Negative.  A false alarm (Type I error).</t>
  </si>
  <si>
    <t>FN  False Negative</t>
  </si>
  <si>
    <t>Predicted Negative, but it was actually Positive.  A miss (Type II error).</t>
  </si>
  <si>
    <t>The metrics</t>
  </si>
  <si>
    <t>Metric</t>
  </si>
  <si>
    <t>Formula</t>
  </si>
  <si>
    <t>Plain English</t>
  </si>
  <si>
    <t>Accuracy</t>
  </si>
  <si>
    <t>(TP + TN) / everything</t>
  </si>
  <si>
    <t>Share of all predictions that were correct. Misleads when classes are imbalanced.</t>
  </si>
  <si>
    <t>Precision</t>
  </si>
  <si>
    <t>TP / (TP + FP)</t>
  </si>
  <si>
    <t>Of everything flagged Positive, how much really was. 'When it says yes, is it right?'</t>
  </si>
  <si>
    <t>Recall</t>
  </si>
  <si>
    <t>TP / (TP + FN)</t>
  </si>
  <si>
    <t>Of all real Positives, how many were caught. Also called Sensitivity or TPR.</t>
  </si>
  <si>
    <t>Specificity</t>
  </si>
  <si>
    <t>TN / (TN + FP)</t>
  </si>
  <si>
    <t>Of all real Negatives, how many were correctly cleared. The True Negative Rate.</t>
  </si>
  <si>
    <t>F1 Score</t>
  </si>
  <si>
    <t>2·P·R / (P + R)</t>
  </si>
  <si>
    <t>Harmonic mean of Precision &amp; Recall. High only when BOTH are high.</t>
  </si>
  <si>
    <t>How to use it</t>
  </si>
  <si>
    <t>Tab 'Simulator (manual)'</t>
  </si>
  <si>
    <t>Type any counts into the four yellow cells of the matrix. Watch every metric update.</t>
  </si>
  <si>
    <t>Tab 'Threshold Simulator'</t>
  </si>
  <si>
    <t>A 30-row dataset of actual labels + model scores. Slide the yellow threshold cell (0–1) and see the precision/recall trade-off appear.</t>
  </si>
  <si>
    <t>Yellow cells</t>
  </si>
  <si>
    <t>The ONLY cells you edit. Everything else is a locked formula.</t>
  </si>
  <si>
    <t>Manual Confusion Matrix Simulator</t>
  </si>
  <si>
    <t>Edit the four yellow cells. Green = correct, Red = errors. All metrics on the right recalculate live.</t>
  </si>
  <si>
    <t>PREDICTED</t>
  </si>
  <si>
    <t>Value</t>
  </si>
  <si>
    <t>Formula used</t>
  </si>
  <si>
    <t>Positive</t>
  </si>
  <si>
    <t>Negative</t>
  </si>
  <si>
    <t>(TP+TN) / total</t>
  </si>
  <si>
    <t>ACTUAL</t>
  </si>
  <si>
    <t>TP / (TP+FP)</t>
  </si>
  <si>
    <t>Recall (Sensitivity)</t>
  </si>
  <si>
    <t>TP / (TP+FN)</t>
  </si>
  <si>
    <t>TN / (TN+FP)</t>
  </si>
  <si>
    <t>Grid key:</t>
  </si>
  <si>
    <t>Top row = Actual Positive · Bottom row = Actual Negative</t>
  </si>
  <si>
    <t>2·P·R / (P+R)</t>
  </si>
  <si>
    <t>Total predictions</t>
  </si>
  <si>
    <t>Read F1 as: the single score that is high only when precision AND recall are both high.</t>
  </si>
  <si>
    <t>Threshold Simulator — watch Precision &amp; Recall trade off</t>
  </si>
  <si>
    <t>Each row is a case with a true label and a model score (0–1). Change the yellow THRESHOLD: any score at or above it is predicted Positive.</t>
  </si>
  <si>
    <t>THRESHOLD</t>
  </si>
  <si>
    <t>Score &gt;= threshold  →  predicted Positive (1)</t>
  </si>
  <si>
    <t>Case</t>
  </si>
  <si>
    <t>Actual</t>
  </si>
  <si>
    <t>Score</t>
  </si>
  <si>
    <t>Predicted</t>
  </si>
  <si>
    <t>Outcome</t>
  </si>
  <si>
    <t>Live confusion matrix</t>
  </si>
  <si>
    <t>Pred Pos</t>
  </si>
  <si>
    <t>Pred Neg</t>
  </si>
  <si>
    <t>Actual Pos</t>
  </si>
  <si>
    <t>Actual Neg</t>
  </si>
  <si>
    <t>Note</t>
  </si>
  <si>
    <t>correct / total</t>
  </si>
  <si>
    <t>TP/(TP+FP)</t>
  </si>
  <si>
    <t>TP/(TP+FN)</t>
  </si>
  <si>
    <t>TN/(TN+FP)</t>
  </si>
  <si>
    <t>2·P·R/(P+R)</t>
  </si>
  <si>
    <t>Actual positives</t>
  </si>
  <si>
    <t>Actual negatives</t>
  </si>
  <si>
    <t>Flagged positive</t>
  </si>
  <si>
    <t>Try threshold = 0.30 (recall up, precision down) vs 0.70 (precision up, recall down).</t>
  </si>
  <si>
    <t>Data Splitting &amp; Validation — the hold-out family</t>
  </si>
  <si>
    <t>Every method below sets aside data the model does NOT train on, so the score you report reflects unseen data. They differ in HOW the hold-out is chosen and how many times it rotates.</t>
  </si>
  <si>
    <t>Method</t>
  </si>
  <si>
    <t>How it works</t>
  </si>
  <si>
    <t>When to use it</t>
  </si>
  <si>
    <t>Watch out for</t>
  </si>
  <si>
    <t>1. Hold-out (train / test)</t>
  </si>
  <si>
    <t>Split once into a training set and a test set, e.g. 80/20 or 70/30. Train on one, score on the other.</t>
  </si>
  <si>
    <t>Large datasets; a fast first estimate; quick baselines.</t>
  </si>
  <si>
    <t>One lucky/unlucky split can mislead. High variance on small data.</t>
  </si>
  <si>
    <t>2. Train / Validation / Test (three-way hold-out)</t>
  </si>
  <si>
    <t>Three disjoint sets, e.g. 60/20/20. Train on train, tune hy-parameters on validation, report the final score once on test.</t>
  </si>
  <si>
    <t>When you tune models and must not let tuning leak into the final score.</t>
  </si>
  <si>
    <t>Test set must be touched only once, at the very end.</t>
  </si>
  <si>
    <t>3. K-Fold Cross-Validation</t>
  </si>
  <si>
    <t>Split into k equal folds. Rotate: each fold is the test set once while the other k-1 folds train. Average the k scores.</t>
  </si>
  <si>
    <t>The default for small-to-medium data; stable, low-bias estimates.</t>
  </si>
  <si>
    <t>k times more compute. k=5 or 10 is standard.</t>
  </si>
  <si>
    <t>4. Stratified K-Fold CV</t>
  </si>
  <si>
    <t>K-Fold that keeps each class's proportion the same in every fold.</t>
  </si>
  <si>
    <t>Classification, especially imbalanced classes.</t>
  </si>
  <si>
    <t>Use it by default for classification instead of plain K-Fold.</t>
  </si>
  <si>
    <t>5. Leave-One-Out CV (LOOCV)</t>
  </si>
  <si>
    <t>K-Fold taken to the extreme: k = n. Each single row is the test set once; train on the other n-1.</t>
  </si>
  <si>
    <t>Very small datasets where you can't spare data.</t>
  </si>
  <si>
    <t>n model fits = very expensive; high-variance estimate.</t>
  </si>
  <si>
    <t>6. Leave-P-Out CV</t>
  </si>
  <si>
    <t>Every possible subset of p rows is held out in turn as the test set.</t>
  </si>
  <si>
    <t>Tiny datasets, theoretical/exhaustive evaluation.</t>
  </si>
  <si>
    <t>Combinatorial blow-up; rarely practical for p&gt;1.</t>
  </si>
  <si>
    <t>7. Repeated K-Fold CV</t>
  </si>
  <si>
    <t>Run K-Fold several times with different random fold assignments; average across all runs.</t>
  </si>
  <si>
    <t>When one K-Fold run is still too noisy to trust.</t>
  </si>
  <si>
    <t>Multiplies compute by the number of repeats.</t>
  </si>
  <si>
    <t>8. Monte-Carlo CV (Shuffle-Split / repeated random subsampling)</t>
  </si>
  <si>
    <t>Randomly draw a fresh train/test split many times (folds may overlap across runs). Average the scores.</t>
  </si>
  <si>
    <t>Flexible test size; many independent estimates.</t>
  </si>
  <si>
    <t>A row can appear in several test sets; some rows may never be tested.</t>
  </si>
  <si>
    <t>9. Group K-Fold</t>
  </si>
  <si>
    <t>K-Fold that keeps all rows sharing a group id (patient, user, device) together in the same fold.</t>
  </si>
  <si>
    <t>Grouped/clustered data where leakage between related rows must be prevented.</t>
  </si>
  <si>
    <t>Fold sizes become uneven if groups differ in size.</t>
  </si>
  <si>
    <t>10. Time-Series Split (rolling / expanding window)</t>
  </si>
  <si>
    <t>No shuffling. Train on the past, test on the immediate future; the window expands each iteration.</t>
  </si>
  <si>
    <t>Any temporal / forecasting data.</t>
  </si>
  <si>
    <t>Never shuffle time data — it leaks the future into the past.</t>
  </si>
  <si>
    <t>11. Bootstrap (.632)</t>
  </si>
  <si>
    <t>Sample n rows WITH replacement to train; rows never drawn (~36.8%) become the out-of-bag test set.</t>
  </si>
  <si>
    <t>Very small samples; estimating uncertainty / confidence intervals.</t>
  </si>
  <si>
    <t>Duplicated rows in training; optimistic unless .632 correction applied.</t>
  </si>
  <si>
    <t>12. Nested CV</t>
  </si>
  <si>
    <t>An outer CV loop estimates performance; an inner CV loop tunes hy-parameters within each outer fold.</t>
  </si>
  <si>
    <t>Honest performance when you also tune hyper-parameters.</t>
  </si>
  <si>
    <t>Compute = outer x inner fits; the most expensive option.</t>
  </si>
  <si>
    <t>Golden rule</t>
  </si>
  <si>
    <t>Fit any scaling, encoding or feature selection INSIDE the training fold only, then apply it to the test fold. Fitting on the full data before splitting leaks information and inflates every metric.</t>
  </si>
  <si>
    <t>Split Visualizer — see how each method carves up 12 samples</t>
  </si>
  <si>
    <t>Orange = Test  ·  Blue = Train  ·  Green = Validation  ·  Grey = not used this round. Change the yellow inputs and the grids recolour.</t>
  </si>
  <si>
    <t>1 · Hold-out split</t>
  </si>
  <si>
    <t>Test fraction</t>
  </si>
  <si>
    <t>Last (test fraction x 12) samples are held out for testing.</t>
  </si>
  <si>
    <t>S1</t>
  </si>
  <si>
    <t>S2</t>
  </si>
  <si>
    <t>S3</t>
  </si>
  <si>
    <t>S4</t>
  </si>
  <si>
    <t>S5</t>
  </si>
  <si>
    <t>S6</t>
  </si>
  <si>
    <t>S7</t>
  </si>
  <si>
    <t>S8</t>
  </si>
  <si>
    <t>S9</t>
  </si>
  <si>
    <t>S10</t>
  </si>
  <si>
    <t>S11</t>
  </si>
  <si>
    <t>S12</t>
  </si>
  <si>
    <t>Train</t>
  </si>
  <si>
    <t>Test</t>
  </si>
  <si>
    <t>Single split</t>
  </si>
  <si>
    <t>2 · K-Fold Cross-Validation</t>
  </si>
  <si>
    <t>Number of folds (k)</t>
  </si>
  <si>
    <t>Each fold is the Test set exactly once; k=12 = Leave-One-Out. Set k=5 or 10 in practice.</t>
  </si>
  <si>
    <t>Sample → fold #</t>
  </si>
  <si>
    <t>Notice: every sample lands in the orange Test column exactly once across the active iterations — that is the whole point of K-Fold.</t>
  </si>
  <si>
    <t>3 · Time-Series Split (expanding window — no shuffling)</t>
  </si>
  <si>
    <t>Split 1</t>
  </si>
  <si>
    <t>Tr</t>
  </si>
  <si>
    <t>Te</t>
  </si>
  <si>
    <t>·</t>
  </si>
  <si>
    <t>Split 2</t>
  </si>
  <si>
    <t>Split 3</t>
  </si>
  <si>
    <t>Split 4</t>
  </si>
  <si>
    <t>Split 5</t>
  </si>
  <si>
    <t>Time flows left→right. Training always precedes testing; grey samples are still in the future for that split.</t>
  </si>
  <si>
    <t>Legend</t>
  </si>
  <si>
    <t>Train (Tr)</t>
  </si>
  <si>
    <t>Test (Te)</t>
  </si>
  <si>
    <t>Validation (Va)</t>
  </si>
  <si>
    <t>Not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</si>
</sst>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1"/>
      <color theme="1"/>
      <name val="Calibri"/>
      <family val="2"/>
      <charset val="1"/>
    </font>
    <font>
      <b/>
      <sz val="16"/>
      <color rgb="FFFFFFFF"/>
      <name val="Arial"/>
      <family val="2"/>
    </font>
    <font>
      <b/>
      <sz val="13"/>
      <color rgb="FF1F3864"/>
      <name val="Arial"/>
      <family val="2"/>
    </font>
    <font>
      <sz val="11"/>
      <color rgb="FF000000"/>
      <name val="Arial"/>
      <family val="2"/>
    </font>
    <font>
      <b/>
      <sz val="11"/>
      <color rgb="FF006100"/>
      <name val="Arial"/>
      <family val="2"/>
    </font>
    <font>
      <b/>
      <sz val="11"/>
      <color rgb="FF9C0006"/>
      <name val="Arial"/>
      <family val="2"/>
    </font>
    <font>
      <b/>
      <sz val="11"/>
      <color rgb="FFFFFFFF"/>
      <name val="Arial"/>
      <family val="2"/>
    </font>
    <font>
      <b/>
      <sz val="11"/>
      <color rgb="FF000000"/>
      <name val="Arial"/>
      <family val="2"/>
    </font>
    <font>
      <i/>
      <sz val="11"/>
      <color rgb="FF000000"/>
      <name val="Arial"/>
      <family val="2"/>
    </font>
    <font>
      <b/>
      <sz val="11"/>
      <color rgb="FF0000FF"/>
      <name val="Arial"/>
      <family val="2"/>
    </font>
    <font>
      <i/>
      <sz val="10"/>
      <color rgb="FF595959"/>
      <name val="Arial"/>
      <family val="2"/>
    </font>
    <font>
      <b/>
      <sz val="12"/>
      <color rgb="FF1F3864"/>
      <name val="Arial"/>
      <family val="2"/>
    </font>
    <font>
      <b/>
      <sz val="20"/>
      <color rgb="FF006100"/>
      <name val="Arial"/>
      <family val="2"/>
    </font>
    <font>
      <b/>
      <sz val="20"/>
      <color rgb="FF9C0006"/>
      <name val="Arial"/>
      <family val="2"/>
    </font>
    <font>
      <b/>
      <sz val="9"/>
      <color rgb="FF006100"/>
      <name val="Arial"/>
      <family val="2"/>
    </font>
    <font>
      <b/>
      <sz val="9"/>
      <color rgb="FF9C0006"/>
      <name val="Arial"/>
      <family val="2"/>
    </font>
    <font>
      <b/>
      <sz val="10"/>
      <color rgb="FF1F3864"/>
      <name val="Arial"/>
      <family val="2"/>
    </font>
    <font>
      <i/>
      <sz val="9"/>
      <color rgb="FF595959"/>
      <name val="Arial"/>
      <family val="2"/>
    </font>
    <font>
      <sz val="10"/>
      <name val="Arial"/>
      <family val="2"/>
    </font>
    <font>
      <b/>
      <sz val="14"/>
      <color rgb="FF0000FF"/>
      <name val="Arial"/>
      <family val="2"/>
    </font>
    <font>
      <sz val="10"/>
      <color rgb="FF000000"/>
      <name val="Arial"/>
      <family val="2"/>
    </font>
    <font>
      <b/>
      <sz val="10"/>
      <color rgb="FF000000"/>
      <name val="Arial"/>
      <family val="2"/>
    </font>
    <font>
      <b/>
      <sz val="10"/>
      <color rgb="FFFFFFFF"/>
      <name val="Arial"/>
      <family val="2"/>
    </font>
    <font>
      <b/>
      <sz val="14"/>
      <color rgb="FF006100"/>
      <name val="Arial"/>
      <family val="2"/>
    </font>
    <font>
      <b/>
      <sz val="14"/>
      <color rgb="FF9C0006"/>
      <name val="Arial"/>
      <family val="2"/>
    </font>
    <font>
      <b/>
      <sz val="11"/>
      <color rgb="FF1F3864"/>
      <name val="Arial"/>
      <family val="2"/>
    </font>
    <font>
      <b/>
      <sz val="9"/>
      <color rgb="FFFFFFFF"/>
      <name val="Arial"/>
      <family val="2"/>
    </font>
    <font>
      <b/>
      <sz val="9"/>
      <color rgb="FF1F3864"/>
      <name val="Arial"/>
      <family val="2"/>
    </font>
    <font>
      <b/>
      <sz val="9"/>
      <color rgb="FFC55A11"/>
      <name val="Arial"/>
      <family val="2"/>
    </font>
    <font>
      <b/>
      <sz val="9"/>
      <color rgb="FF000000"/>
      <name val="Arial"/>
      <family val="2"/>
    </font>
    <font>
      <sz val="9"/>
      <color rgb="FF808080"/>
      <name val="Arial"/>
      <family val="2"/>
    </font>
    <font>
      <sz val="9"/>
      <color rgb="FF404040"/>
      <name val="Arial"/>
      <family val="2"/>
    </font>
    <font>
      <sz val="9"/>
      <color rgb="FF000000"/>
      <name val="Arial"/>
      <family val="2"/>
    </font>
    <font>
      <b/>
      <sz val="9"/>
      <color rgb="FF375623"/>
      <name val="Arial"/>
      <family val="2"/>
    </font>
    <font>
      <b/>
      <sz val="9"/>
      <color rgb="FFA6A6A6"/>
      <name val="Arial"/>
      <family val="2"/>
    </font>
  </fonts>
  <fills count="12">
    <fill>
      <patternFill patternType="none"/>
    </fill>
    <fill>
      <patternFill patternType="gray125"/>
    </fill>
    <fill>
      <patternFill patternType="solid">
        <fgColor rgb="FF1F3864"/>
        <bgColor rgb="FF404040"/>
      </patternFill>
    </fill>
    <fill>
      <patternFill patternType="solid">
        <fgColor rgb="FFC6EFCE"/>
        <bgColor rgb="FFE2EFDA"/>
      </patternFill>
    </fill>
    <fill>
      <patternFill patternType="solid">
        <fgColor rgb="FFFFC7CE"/>
        <bgColor rgb="FFFCE4D6"/>
      </patternFill>
    </fill>
    <fill>
      <patternFill patternType="solid">
        <fgColor rgb="FF2E5496"/>
        <bgColor rgb="FF1F3864"/>
      </patternFill>
    </fill>
    <fill>
      <patternFill patternType="solid">
        <fgColor rgb="FFF2F2F2"/>
        <bgColor rgb="FFE2EFDA"/>
      </patternFill>
    </fill>
    <fill>
      <patternFill patternType="solid">
        <fgColor rgb="FFFFF2CC"/>
        <bgColor rgb="FFFCE4D6"/>
      </patternFill>
    </fill>
    <fill>
      <patternFill patternType="solid">
        <fgColor rgb="FFFFFFFF"/>
        <bgColor rgb="FFF2F2F2"/>
      </patternFill>
    </fill>
    <fill>
      <patternFill patternType="solid">
        <fgColor rgb="FFD9E1F2"/>
        <bgColor rgb="FFE2EFDA"/>
      </patternFill>
    </fill>
    <fill>
      <patternFill patternType="solid">
        <fgColor rgb="FFFCE4D6"/>
        <bgColor rgb="FFFFF2CC"/>
      </patternFill>
    </fill>
    <fill>
      <patternFill patternType="solid">
        <fgColor rgb="FFE2EFDA"/>
        <bgColor rgb="FFF2F2F2"/>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404040"/>
      </left>
      <right style="medium">
        <color rgb="FF404040"/>
      </right>
      <top style="medium">
        <color rgb="FF404040"/>
      </top>
      <bottom style="medium">
        <color rgb="FF40404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5">
    <xf numFmtId="0" fontId="0" fillId="0" borderId="0" xfId="0"/>
    <xf numFmtId="0" fontId="17" fillId="0" borderId="0" xfId="0" applyFont="1" applyAlignment="1">
      <alignment horizontal="left" vertical="center" wrapText="1"/>
    </xf>
    <xf numFmtId="0" fontId="2" fillId="0" borderId="0" xfId="0" applyFont="1"/>
    <xf numFmtId="0" fontId="6" fillId="5"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0" fillId="8" borderId="0" xfId="0" applyFill="1"/>
    <xf numFmtId="0" fontId="6" fillId="5" borderId="3" xfId="0" applyFont="1" applyFill="1" applyBorder="1" applyAlignment="1">
      <alignment horizontal="center" vertical="center" wrapText="1"/>
    </xf>
    <xf numFmtId="164" fontId="11"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2" fillId="3" borderId="3" xfId="0" applyFont="1" applyFill="1" applyBorder="1" applyAlignment="1" applyProtection="1">
      <alignment horizontal="center" vertical="center" wrapText="1"/>
      <protection locked="0"/>
    </xf>
    <xf numFmtId="0" fontId="13" fillId="4" borderId="3" xfId="0" applyFont="1" applyFill="1" applyBorder="1" applyAlignment="1" applyProtection="1">
      <alignment horizontal="center" vertical="center" wrapText="1"/>
      <protection locked="0"/>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xf numFmtId="0" fontId="6" fillId="2" borderId="1" xfId="0" applyFont="1" applyFill="1" applyBorder="1" applyAlignment="1">
      <alignment horizontal="center" vertical="center" wrapText="1"/>
    </xf>
    <xf numFmtId="2" fontId="19" fillId="7" borderId="3" xfId="0" applyNumberFormat="1" applyFont="1" applyFill="1" applyBorder="1" applyAlignment="1" applyProtection="1">
      <alignment horizontal="center" vertical="center" wrapText="1"/>
      <protection locked="0"/>
    </xf>
    <xf numFmtId="0" fontId="21" fillId="0" borderId="1" xfId="0" applyFont="1" applyBorder="1" applyAlignment="1">
      <alignment horizontal="center" vertical="center" wrapText="1"/>
    </xf>
    <xf numFmtId="2" fontId="20" fillId="0" borderId="1" xfId="0" applyNumberFormat="1" applyFont="1" applyBorder="1" applyAlignment="1">
      <alignment horizontal="center" vertical="center" wrapText="1"/>
    </xf>
    <xf numFmtId="0" fontId="22" fillId="5" borderId="1"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1" fillId="6"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16" fillId="8" borderId="1" xfId="0" applyFont="1" applyFill="1" applyBorder="1" applyAlignment="1">
      <alignment horizontal="left" vertical="top" wrapText="1"/>
    </xf>
    <xf numFmtId="0" fontId="20" fillId="8"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20" fillId="6" borderId="1" xfId="0" applyFont="1" applyFill="1" applyBorder="1" applyAlignment="1">
      <alignment horizontal="left" vertical="top" wrapText="1"/>
    </xf>
    <xf numFmtId="0" fontId="25" fillId="0" borderId="0" xfId="0" applyFont="1"/>
    <xf numFmtId="9" fontId="9" fillId="7" borderId="3" xfId="0" applyNumberFormat="1" applyFont="1" applyFill="1" applyBorder="1" applyAlignment="1" applyProtection="1">
      <alignment horizontal="center" vertical="center" wrapText="1"/>
      <protection locked="0"/>
    </xf>
    <xf numFmtId="0" fontId="26" fillId="5" borderId="1" xfId="0" applyFont="1" applyFill="1" applyBorder="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9" fillId="0" borderId="1" xfId="0" applyFont="1" applyBorder="1" applyAlignment="1">
      <alignment horizontal="center" vertical="center" wrapText="1"/>
    </xf>
    <xf numFmtId="0" fontId="9" fillId="7" borderId="3" xfId="0" applyFont="1" applyFill="1" applyBorder="1" applyAlignment="1" applyProtection="1">
      <alignment horizontal="center" vertical="center" wrapText="1"/>
      <protection locked="0"/>
    </xf>
    <xf numFmtId="0" fontId="30" fillId="0" borderId="1" xfId="0" applyFont="1" applyBorder="1" applyAlignment="1">
      <alignment horizontal="center" vertical="center" wrapText="1"/>
    </xf>
    <xf numFmtId="0" fontId="31" fillId="0" borderId="1" xfId="0" applyFont="1" applyBorder="1" applyAlignment="1">
      <alignment horizontal="left" vertical="center" wrapText="1"/>
    </xf>
    <xf numFmtId="0" fontId="32" fillId="0" borderId="1" xfId="0" applyFont="1" applyBorder="1" applyAlignment="1">
      <alignment horizontal="center" vertical="center" wrapText="1"/>
    </xf>
    <xf numFmtId="0" fontId="0" fillId="0" borderId="0" xfId="0" applyAlignment="1">
      <alignment shrinkToFit="1"/>
    </xf>
    <xf numFmtId="0" fontId="0" fillId="0" borderId="7" xfId="0" applyBorder="1"/>
    <xf numFmtId="0" fontId="0" fillId="0" borderId="8" xfId="0" applyBorder="1"/>
    <xf numFmtId="0" fontId="2" fillId="0" borderId="7" xfId="0" applyFont="1" applyBorder="1"/>
    <xf numFmtId="0" fontId="4" fillId="3"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6" borderId="9" xfId="0" applyFont="1" applyFill="1" applyBorder="1" applyAlignment="1">
      <alignment horizontal="left" vertical="center" wrapText="1"/>
    </xf>
    <xf numFmtId="0" fontId="9" fillId="7" borderId="9" xfId="0" applyFont="1" applyFill="1" applyBorder="1" applyAlignment="1">
      <alignment horizontal="left" vertical="center" wrapText="1"/>
    </xf>
    <xf numFmtId="0" fontId="9" fillId="7" borderId="11" xfId="0" applyFont="1" applyFill="1" applyBorder="1" applyAlignment="1">
      <alignment horizontal="left" vertical="center" wrapText="1"/>
    </xf>
    <xf numFmtId="0" fontId="11" fillId="0" borderId="0" xfId="0" applyFont="1"/>
    <xf numFmtId="0" fontId="20" fillId="0" borderId="9" xfId="0" applyFont="1" applyBorder="1" applyAlignment="1">
      <alignment horizontal="center" vertical="center" wrapText="1"/>
    </xf>
    <xf numFmtId="0" fontId="20" fillId="0" borderId="11" xfId="0" applyFont="1" applyBorder="1" applyAlignment="1">
      <alignment horizontal="center" vertical="center" wrapText="1"/>
    </xf>
    <xf numFmtId="0" fontId="21" fillId="0" borderId="14" xfId="0" applyFont="1" applyBorder="1" applyAlignment="1">
      <alignment horizontal="center" vertical="center" wrapText="1"/>
    </xf>
    <xf numFmtId="2" fontId="20" fillId="0" borderId="14" xfId="0" applyNumberFormat="1" applyFont="1" applyBorder="1" applyAlignment="1">
      <alignment horizontal="center" vertical="center" wrapText="1"/>
    </xf>
    <xf numFmtId="0" fontId="0" fillId="0" borderId="15" xfId="0" applyBorder="1"/>
    <xf numFmtId="0" fontId="0" fillId="0" borderId="16" xfId="0" applyBorder="1"/>
    <xf numFmtId="0" fontId="3" fillId="0" borderId="2"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6" fillId="5" borderId="2"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7" fillId="0" borderId="2" xfId="0" applyFont="1" applyBorder="1" applyAlignment="1">
      <alignment horizontal="center" vertical="center" wrapText="1"/>
    </xf>
    <xf numFmtId="0" fontId="17" fillId="0" borderId="0" xfId="0" applyFont="1" applyAlignment="1">
      <alignment horizontal="left" vertical="center" wrapText="1"/>
    </xf>
    <xf numFmtId="0" fontId="1" fillId="2" borderId="0" xfId="0" applyFont="1" applyFill="1" applyAlignment="1">
      <alignment horizontal="left" vertical="center"/>
    </xf>
    <xf numFmtId="0" fontId="10" fillId="0" borderId="0" xfId="0" applyFont="1" applyAlignment="1">
      <alignment horizontal="left" vertical="center" wrapText="1"/>
    </xf>
    <xf numFmtId="0" fontId="6" fillId="2" borderId="0" xfId="0" applyFont="1" applyFill="1" applyAlignment="1">
      <alignment horizontal="center" vertical="center" wrapText="1"/>
    </xf>
    <xf numFmtId="0" fontId="6" fillId="2" borderId="0" xfId="0" applyFont="1" applyFill="1" applyAlignment="1">
      <alignment horizontal="center" vertical="center" textRotation="90"/>
    </xf>
    <xf numFmtId="0" fontId="17" fillId="0" borderId="0" xfId="0" applyFont="1" applyAlignment="1">
      <alignment horizontal="center" vertical="center" wrapText="1"/>
    </xf>
    <xf numFmtId="0" fontId="10" fillId="0" borderId="2" xfId="0" applyFont="1" applyBorder="1" applyAlignment="1">
      <alignment horizontal="left" vertical="center" wrapText="1"/>
    </xf>
    <xf numFmtId="0" fontId="10" fillId="0" borderId="10" xfId="0" applyFont="1" applyBorder="1" applyAlignment="1">
      <alignment horizontal="left" vertical="center" wrapText="1"/>
    </xf>
    <xf numFmtId="0" fontId="17" fillId="0" borderId="8"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6" fillId="2" borderId="2"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33" fillId="11" borderId="1" xfId="0" applyFont="1" applyFill="1" applyBorder="1" applyAlignment="1">
      <alignment horizontal="center" vertical="center" wrapText="1"/>
    </xf>
    <xf numFmtId="0" fontId="34" fillId="6" borderId="1" xfId="0" applyFont="1" applyFill="1" applyBorder="1" applyAlignment="1">
      <alignment horizontal="center" vertical="center" wrapText="1"/>
    </xf>
  </cellXfs>
  <cellStyles count="1">
    <cellStyle name="Normal" xfId="0" builtinId="0"/>
  </cellStyles>
  <dxfs count="17">
    <dxf>
      <font>
        <sz val="9"/>
        <color rgb="FFA6A6A6"/>
        <name val="Arial"/>
        <charset val="1"/>
      </font>
      <fill>
        <patternFill>
          <bgColor rgb="FFF2F2F2"/>
        </patternFill>
      </fill>
    </dxf>
    <dxf>
      <font>
        <b/>
        <sz val="9"/>
        <color rgb="FF375623"/>
        <name val="Arial"/>
        <charset val="1"/>
      </font>
      <fill>
        <patternFill>
          <bgColor rgb="FFE2EFDA"/>
        </patternFill>
      </fill>
    </dxf>
    <dxf>
      <font>
        <sz val="9"/>
        <color rgb="FF1F3864"/>
        <name val="Arial"/>
        <charset val="1"/>
      </font>
      <fill>
        <patternFill>
          <bgColor rgb="FFD9E1F2"/>
        </patternFill>
      </fill>
    </dxf>
    <dxf>
      <font>
        <b/>
        <sz val="9"/>
        <color rgb="FFC55A11"/>
        <name val="Arial"/>
        <charset val="1"/>
      </font>
      <fill>
        <patternFill>
          <bgColor rgb="FFFCE4D6"/>
        </patternFill>
      </fill>
    </dxf>
    <dxf>
      <font>
        <sz val="9"/>
        <color rgb="FFA6A6A6"/>
        <name val="Arial"/>
        <charset val="1"/>
      </font>
      <fill>
        <patternFill>
          <bgColor rgb="FFF2F2F2"/>
        </patternFill>
      </fill>
    </dxf>
    <dxf>
      <font>
        <b/>
        <sz val="9"/>
        <color rgb="FF375623"/>
        <name val="Arial"/>
        <charset val="1"/>
      </font>
      <fill>
        <patternFill>
          <bgColor rgb="FFE2EFDA"/>
        </patternFill>
      </fill>
    </dxf>
    <dxf>
      <font>
        <sz val="9"/>
        <color rgb="FF1F3864"/>
        <name val="Arial"/>
        <charset val="1"/>
      </font>
      <fill>
        <patternFill>
          <bgColor rgb="FFD9E1F2"/>
        </patternFill>
      </fill>
    </dxf>
    <dxf>
      <font>
        <b/>
        <sz val="9"/>
        <color rgb="FFC55A11"/>
        <name val="Arial"/>
        <charset val="1"/>
      </font>
      <fill>
        <patternFill>
          <bgColor rgb="FFFCE4D6"/>
        </patternFill>
      </fill>
    </dxf>
    <dxf>
      <font>
        <sz val="9"/>
        <color rgb="FFA6A6A6"/>
        <name val="Arial"/>
        <charset val="1"/>
      </font>
      <fill>
        <patternFill>
          <bgColor rgb="FFF2F2F2"/>
        </patternFill>
      </fill>
    </dxf>
    <dxf>
      <font>
        <b/>
        <sz val="9"/>
        <color rgb="FF375623"/>
        <name val="Arial"/>
        <charset val="1"/>
      </font>
      <fill>
        <patternFill>
          <bgColor rgb="FFE2EFDA"/>
        </patternFill>
      </fill>
    </dxf>
    <dxf>
      <font>
        <sz val="9"/>
        <color rgb="FF1F3864"/>
        <name val="Arial"/>
        <charset val="1"/>
      </font>
      <fill>
        <patternFill>
          <bgColor rgb="FFD9E1F2"/>
        </patternFill>
      </fill>
    </dxf>
    <dxf>
      <font>
        <b/>
        <sz val="9"/>
        <color rgb="FFC55A11"/>
        <name val="Arial"/>
        <charset val="1"/>
      </font>
      <fill>
        <patternFill>
          <bgColor rgb="FFFCE4D6"/>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006100"/>
        <name val="Arial"/>
        <charset val="1"/>
      </font>
      <fill>
        <patternFill>
          <bgColor rgb="FFC6EFCE"/>
        </patternFill>
      </fill>
    </dxf>
    <dxf>
      <fill>
        <patternFill>
          <bgColor rgb="FFD9E1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C6EFCE"/>
      <rgbColor rgb="FFFCE4D6"/>
      <rgbColor rgb="FF99CCFF"/>
      <rgbColor rgb="FFFF99CC"/>
      <rgbColor rgb="FFCC99FF"/>
      <rgbColor rgb="FFFFC7CE"/>
      <rgbColor rgb="FF3366FF"/>
      <rgbColor rgb="FF33CCCC"/>
      <rgbColor rgb="FF99CC00"/>
      <rgbColor rgb="FFFFCC00"/>
      <rgbColor rgb="FFFF9900"/>
      <rgbColor rgb="FFC55A11"/>
      <rgbColor rgb="FF595959"/>
      <rgbColor rgb="FFA6A6A6"/>
      <rgbColor rgb="FF1F3864"/>
      <rgbColor rgb="FF339966"/>
      <rgbColor rgb="FF003300"/>
      <rgbColor rgb="FF375623"/>
      <rgbColor rgb="FF9933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A8B2-A9B6-4DEA-B044-290DCA7F3E24}">
  <dimension ref="A1"/>
  <sheetViews>
    <sheetView workbookViewId="0"/>
  </sheetViews>
  <sheetFormatPr baseColWidth="10" defaultColWidth="8.6640625" defaultRowHeight="15" x14ac:dyDescent="0.2"/>
  <cols>
    <col min="1" max="16384" width="8.6640625" style="38"/>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5"/>
  <sheetViews>
    <sheetView showGridLines="0" zoomScaleNormal="100" workbookViewId="0">
      <selection activeCell="B2" sqref="B2:G25"/>
    </sheetView>
  </sheetViews>
  <sheetFormatPr baseColWidth="10" defaultColWidth="8.6640625" defaultRowHeight="15" x14ac:dyDescent="0.2"/>
  <cols>
    <col min="1" max="1" width="2.5" customWidth="1"/>
    <col min="2" max="2" width="21" customWidth="1"/>
    <col min="3" max="3" width="58" customWidth="1"/>
    <col min="4" max="4" width="27.1640625" customWidth="1"/>
    <col min="5" max="5" width="20.1640625" customWidth="1"/>
    <col min="6" max="6" width="23.1640625" customWidth="1"/>
    <col min="7" max="7" width="22.6640625" customWidth="1"/>
  </cols>
  <sheetData>
    <row r="1" spans="2:7" ht="16" thickBot="1" x14ac:dyDescent="0.25"/>
    <row r="2" spans="2:7" ht="30" customHeight="1" x14ac:dyDescent="0.2">
      <c r="B2" s="61" t="s">
        <v>0</v>
      </c>
      <c r="C2" s="62"/>
      <c r="D2" s="62"/>
      <c r="E2" s="62"/>
      <c r="F2" s="62"/>
      <c r="G2" s="63"/>
    </row>
    <row r="3" spans="2:7" x14ac:dyDescent="0.2">
      <c r="B3" s="39"/>
      <c r="G3" s="40"/>
    </row>
    <row r="4" spans="2:7" ht="15.75" customHeight="1" x14ac:dyDescent="0.2">
      <c r="B4" s="41" t="s">
        <v>1</v>
      </c>
      <c r="G4" s="40"/>
    </row>
    <row r="5" spans="2:7" ht="15" customHeight="1" x14ac:dyDescent="0.2">
      <c r="B5" s="64" t="s">
        <v>2</v>
      </c>
      <c r="C5" s="65"/>
      <c r="D5" s="65"/>
      <c r="E5" s="65"/>
      <c r="F5" s="65"/>
      <c r="G5" s="66"/>
    </row>
    <row r="6" spans="2:7" ht="15" customHeight="1" x14ac:dyDescent="0.2">
      <c r="B6" s="64"/>
      <c r="C6" s="65"/>
      <c r="D6" s="65"/>
      <c r="E6" s="65"/>
      <c r="F6" s="65"/>
      <c r="G6" s="66"/>
    </row>
    <row r="7" spans="2:7" x14ac:dyDescent="0.2">
      <c r="B7" s="39"/>
      <c r="G7" s="40"/>
    </row>
    <row r="8" spans="2:7" ht="15.75" customHeight="1" x14ac:dyDescent="0.2">
      <c r="B8" s="41" t="s">
        <v>3</v>
      </c>
      <c r="G8" s="40"/>
    </row>
    <row r="9" spans="2:7" ht="25.5" customHeight="1" x14ac:dyDescent="0.2">
      <c r="B9" s="42" t="s">
        <v>4</v>
      </c>
      <c r="C9" s="55" t="s">
        <v>5</v>
      </c>
      <c r="D9" s="55"/>
      <c r="E9" s="55"/>
      <c r="F9" s="55"/>
      <c r="G9" s="56"/>
    </row>
    <row r="10" spans="2:7" ht="25.5" customHeight="1" x14ac:dyDescent="0.2">
      <c r="B10" s="42" t="s">
        <v>6</v>
      </c>
      <c r="C10" s="55" t="s">
        <v>7</v>
      </c>
      <c r="D10" s="55"/>
      <c r="E10" s="55"/>
      <c r="F10" s="55"/>
      <c r="G10" s="56"/>
    </row>
    <row r="11" spans="2:7" ht="25.5" customHeight="1" x14ac:dyDescent="0.2">
      <c r="B11" s="43" t="s">
        <v>8</v>
      </c>
      <c r="C11" s="55" t="s">
        <v>9</v>
      </c>
      <c r="D11" s="55"/>
      <c r="E11" s="55"/>
      <c r="F11" s="55"/>
      <c r="G11" s="56"/>
    </row>
    <row r="12" spans="2:7" ht="25.5" customHeight="1" x14ac:dyDescent="0.2">
      <c r="B12" s="43" t="s">
        <v>10</v>
      </c>
      <c r="C12" s="55" t="s">
        <v>11</v>
      </c>
      <c r="D12" s="55"/>
      <c r="E12" s="55"/>
      <c r="F12" s="55"/>
      <c r="G12" s="56"/>
    </row>
    <row r="13" spans="2:7" x14ac:dyDescent="0.2">
      <c r="B13" s="39"/>
      <c r="G13" s="40"/>
    </row>
    <row r="14" spans="2:7" ht="15.75" customHeight="1" x14ac:dyDescent="0.2">
      <c r="B14" s="41" t="s">
        <v>12</v>
      </c>
      <c r="G14" s="40"/>
    </row>
    <row r="15" spans="2:7" ht="15" customHeight="1" x14ac:dyDescent="0.2">
      <c r="B15" s="44" t="s">
        <v>13</v>
      </c>
      <c r="C15" s="3" t="s">
        <v>14</v>
      </c>
      <c r="D15" s="59" t="s">
        <v>15</v>
      </c>
      <c r="E15" s="59"/>
      <c r="F15" s="59"/>
      <c r="G15" s="60"/>
    </row>
    <row r="16" spans="2:7" ht="30" customHeight="1" x14ac:dyDescent="0.2">
      <c r="B16" s="45" t="s">
        <v>16</v>
      </c>
      <c r="C16" s="5" t="s">
        <v>17</v>
      </c>
      <c r="D16" s="55" t="s">
        <v>18</v>
      </c>
      <c r="E16" s="55"/>
      <c r="F16" s="55"/>
      <c r="G16" s="56"/>
    </row>
    <row r="17" spans="2:7" ht="30" customHeight="1" x14ac:dyDescent="0.2">
      <c r="B17" s="45" t="s">
        <v>19</v>
      </c>
      <c r="C17" s="5" t="s">
        <v>20</v>
      </c>
      <c r="D17" s="55" t="s">
        <v>21</v>
      </c>
      <c r="E17" s="55"/>
      <c r="F17" s="55"/>
      <c r="G17" s="56"/>
    </row>
    <row r="18" spans="2:7" ht="30" customHeight="1" x14ac:dyDescent="0.2">
      <c r="B18" s="45" t="s">
        <v>22</v>
      </c>
      <c r="C18" s="5" t="s">
        <v>23</v>
      </c>
      <c r="D18" s="55" t="s">
        <v>24</v>
      </c>
      <c r="E18" s="55"/>
      <c r="F18" s="55"/>
      <c r="G18" s="56"/>
    </row>
    <row r="19" spans="2:7" ht="30" customHeight="1" x14ac:dyDescent="0.2">
      <c r="B19" s="45" t="s">
        <v>25</v>
      </c>
      <c r="C19" s="5" t="s">
        <v>26</v>
      </c>
      <c r="D19" s="55" t="s">
        <v>27</v>
      </c>
      <c r="E19" s="55"/>
      <c r="F19" s="55"/>
      <c r="G19" s="56"/>
    </row>
    <row r="20" spans="2:7" ht="30" customHeight="1" x14ac:dyDescent="0.2">
      <c r="B20" s="45" t="s">
        <v>28</v>
      </c>
      <c r="C20" s="5" t="s">
        <v>29</v>
      </c>
      <c r="D20" s="55" t="s">
        <v>30</v>
      </c>
      <c r="E20" s="55"/>
      <c r="F20" s="55"/>
      <c r="G20" s="56"/>
    </row>
    <row r="21" spans="2:7" x14ac:dyDescent="0.2">
      <c r="B21" s="39"/>
      <c r="G21" s="40"/>
    </row>
    <row r="22" spans="2:7" ht="15.75" customHeight="1" x14ac:dyDescent="0.2">
      <c r="B22" s="41" t="s">
        <v>31</v>
      </c>
      <c r="G22" s="40"/>
    </row>
    <row r="23" spans="2:7" ht="30" customHeight="1" x14ac:dyDescent="0.2">
      <c r="B23" s="46" t="s">
        <v>32</v>
      </c>
      <c r="C23" s="55" t="s">
        <v>33</v>
      </c>
      <c r="D23" s="55"/>
      <c r="E23" s="55"/>
      <c r="F23" s="55"/>
      <c r="G23" s="56"/>
    </row>
    <row r="24" spans="2:7" ht="30" customHeight="1" x14ac:dyDescent="0.2">
      <c r="B24" s="46" t="s">
        <v>34</v>
      </c>
      <c r="C24" s="55" t="s">
        <v>35</v>
      </c>
      <c r="D24" s="55"/>
      <c r="E24" s="55"/>
      <c r="F24" s="55"/>
      <c r="G24" s="56"/>
    </row>
    <row r="25" spans="2:7" ht="30" customHeight="1" thickBot="1" x14ac:dyDescent="0.25">
      <c r="B25" s="47" t="s">
        <v>36</v>
      </c>
      <c r="C25" s="57" t="s">
        <v>37</v>
      </c>
      <c r="D25" s="57"/>
      <c r="E25" s="57"/>
      <c r="F25" s="57"/>
      <c r="G25" s="58"/>
    </row>
  </sheetData>
  <mergeCells count="15">
    <mergeCell ref="B2:G2"/>
    <mergeCell ref="B5:G6"/>
    <mergeCell ref="C9:G9"/>
    <mergeCell ref="C10:G10"/>
    <mergeCell ref="C11:G11"/>
    <mergeCell ref="C12:G12"/>
    <mergeCell ref="D15:G15"/>
    <mergeCell ref="D16:G16"/>
    <mergeCell ref="D17:G17"/>
    <mergeCell ref="D18:G18"/>
    <mergeCell ref="D19:G19"/>
    <mergeCell ref="D20:G20"/>
    <mergeCell ref="C23:G23"/>
    <mergeCell ref="C24:G24"/>
    <mergeCell ref="C25:G2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2"/>
  <sheetViews>
    <sheetView showGridLines="0" zoomScaleNormal="100" workbookViewId="0"/>
  </sheetViews>
  <sheetFormatPr baseColWidth="10" defaultColWidth="8.6640625" defaultRowHeight="15" x14ac:dyDescent="0.2"/>
  <cols>
    <col min="1" max="1" width="2.5" customWidth="1"/>
    <col min="2" max="4" width="16" customWidth="1"/>
    <col min="5" max="5" width="4" customWidth="1"/>
    <col min="6" max="6" width="22" customWidth="1"/>
    <col min="7" max="7" width="14" customWidth="1"/>
    <col min="8" max="8" width="40" customWidth="1"/>
  </cols>
  <sheetData>
    <row r="2" spans="2:8" ht="27.75" customHeight="1" x14ac:dyDescent="0.2">
      <c r="B2" s="69" t="s">
        <v>38</v>
      </c>
      <c r="C2" s="69"/>
      <c r="D2" s="69"/>
      <c r="E2" s="69"/>
      <c r="F2" s="69"/>
      <c r="G2" s="69"/>
      <c r="H2" s="69"/>
    </row>
    <row r="3" spans="2:8" ht="15" customHeight="1" x14ac:dyDescent="0.2">
      <c r="B3" s="70" t="s">
        <v>39</v>
      </c>
      <c r="C3" s="70"/>
      <c r="D3" s="70"/>
      <c r="E3" s="70"/>
      <c r="F3" s="70"/>
      <c r="G3" s="70"/>
      <c r="H3" s="70"/>
    </row>
    <row r="5" spans="2:8" ht="15" customHeight="1" x14ac:dyDescent="0.2">
      <c r="C5" s="71" t="s">
        <v>40</v>
      </c>
      <c r="D5" s="71"/>
      <c r="F5" s="3" t="s">
        <v>13</v>
      </c>
      <c r="G5" s="3" t="s">
        <v>41</v>
      </c>
      <c r="H5" s="3" t="s">
        <v>42</v>
      </c>
    </row>
    <row r="6" spans="2:8" ht="21.75" customHeight="1" x14ac:dyDescent="0.2">
      <c r="B6" s="6"/>
      <c r="C6" s="7" t="s">
        <v>43</v>
      </c>
      <c r="D6" s="7" t="s">
        <v>44</v>
      </c>
      <c r="F6" s="4" t="s">
        <v>16</v>
      </c>
      <c r="G6" s="8">
        <f>IFERROR((C7+D8)/(C7+D7+C8+D8),0)</f>
        <v>0.78333333333333333</v>
      </c>
      <c r="H6" s="9" t="s">
        <v>45</v>
      </c>
    </row>
    <row r="7" spans="2:8" ht="21.75" customHeight="1" x14ac:dyDescent="0.2">
      <c r="B7" s="72" t="s">
        <v>46</v>
      </c>
      <c r="C7" s="10">
        <v>22</v>
      </c>
      <c r="D7" s="11">
        <v>8</v>
      </c>
      <c r="F7" s="4" t="s">
        <v>19</v>
      </c>
      <c r="G7" s="8">
        <f>IFERROR(C7/(C7+C8),0)</f>
        <v>0.81481481481481477</v>
      </c>
      <c r="H7" s="9" t="s">
        <v>47</v>
      </c>
    </row>
    <row r="8" spans="2:8" ht="21.75" customHeight="1" x14ac:dyDescent="0.2">
      <c r="B8" s="72"/>
      <c r="C8" s="11">
        <v>5</v>
      </c>
      <c r="D8" s="10">
        <v>25</v>
      </c>
      <c r="F8" s="4" t="s">
        <v>48</v>
      </c>
      <c r="G8" s="8">
        <f>IFERROR(C7/(C7+D7),0)</f>
        <v>0.73333333333333328</v>
      </c>
      <c r="H8" s="9" t="s">
        <v>49</v>
      </c>
    </row>
    <row r="9" spans="2:8" ht="21.75" customHeight="1" x14ac:dyDescent="0.2">
      <c r="C9" s="12"/>
      <c r="D9" s="13"/>
      <c r="F9" s="4" t="s">
        <v>25</v>
      </c>
      <c r="G9" s="8">
        <f>IFERROR(D8/(D8+C8),0)</f>
        <v>0.83333333333333337</v>
      </c>
      <c r="H9" s="9" t="s">
        <v>50</v>
      </c>
    </row>
    <row r="10" spans="2:8" ht="21.75" customHeight="1" x14ac:dyDescent="0.2">
      <c r="B10" s="14" t="s">
        <v>51</v>
      </c>
      <c r="C10" s="73" t="s">
        <v>52</v>
      </c>
      <c r="D10" s="73"/>
      <c r="F10" s="4" t="s">
        <v>28</v>
      </c>
      <c r="G10" s="8">
        <f>IFERROR(2*G7*G8/(G7+G8),0)</f>
        <v>0.77192982456140347</v>
      </c>
      <c r="H10" s="9" t="s">
        <v>53</v>
      </c>
    </row>
    <row r="12" spans="2:8" ht="26.25" customHeight="1" x14ac:dyDescent="0.2">
      <c r="B12" s="4" t="s">
        <v>54</v>
      </c>
      <c r="C12" s="67">
        <f>C7+D7+C8+D8</f>
        <v>60</v>
      </c>
      <c r="D12" s="67"/>
      <c r="F12" s="68" t="s">
        <v>55</v>
      </c>
      <c r="G12" s="68"/>
      <c r="H12" s="68"/>
    </row>
  </sheetData>
  <mergeCells count="7">
    <mergeCell ref="C12:D12"/>
    <mergeCell ref="F12:H12"/>
    <mergeCell ref="B2:H2"/>
    <mergeCell ref="B3:H3"/>
    <mergeCell ref="C5:D5"/>
    <mergeCell ref="B7:B8"/>
    <mergeCell ref="C10:D10"/>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7"/>
  <sheetViews>
    <sheetView showGridLines="0" topLeftCell="A10" zoomScaleNormal="100" workbookViewId="0">
      <selection activeCell="J5" sqref="J5:K5"/>
    </sheetView>
  </sheetViews>
  <sheetFormatPr baseColWidth="10" defaultColWidth="8.6640625" defaultRowHeight="15" x14ac:dyDescent="0.2"/>
  <cols>
    <col min="1" max="1" width="2.5" customWidth="1"/>
    <col min="2" max="2" width="8" customWidth="1"/>
    <col min="3" max="4" width="10" customWidth="1"/>
    <col min="5" max="6" width="12" customWidth="1"/>
    <col min="7" max="7" width="3" customWidth="1"/>
    <col min="8" max="8" width="20" customWidth="1"/>
    <col min="9" max="10" width="14" customWidth="1"/>
    <col min="11" max="11" width="30" customWidth="1"/>
  </cols>
  <sheetData>
    <row r="1" spans="2:11" ht="16" thickBot="1" x14ac:dyDescent="0.25"/>
    <row r="2" spans="2:11" ht="27.75" customHeight="1" x14ac:dyDescent="0.2">
      <c r="B2" s="61" t="s">
        <v>56</v>
      </c>
      <c r="C2" s="62"/>
      <c r="D2" s="62"/>
      <c r="E2" s="62"/>
      <c r="F2" s="62"/>
      <c r="G2" s="62"/>
      <c r="H2" s="62"/>
      <c r="I2" s="62"/>
      <c r="J2" s="62"/>
      <c r="K2" s="63"/>
    </row>
    <row r="3" spans="2:11" ht="15" customHeight="1" x14ac:dyDescent="0.2">
      <c r="B3" s="77" t="s">
        <v>57</v>
      </c>
      <c r="C3" s="70"/>
      <c r="D3" s="70"/>
      <c r="E3" s="70"/>
      <c r="F3" s="70"/>
      <c r="G3" s="70"/>
      <c r="H3" s="70"/>
      <c r="I3" s="70"/>
      <c r="J3" s="70"/>
      <c r="K3" s="78"/>
    </row>
    <row r="4" spans="2:11" ht="16" thickBot="1" x14ac:dyDescent="0.25">
      <c r="B4" s="39"/>
      <c r="K4" s="40"/>
    </row>
    <row r="5" spans="2:11" ht="17.25" customHeight="1" thickBot="1" x14ac:dyDescent="0.25">
      <c r="B5" s="39"/>
      <c r="H5" s="15" t="s">
        <v>58</v>
      </c>
      <c r="I5" s="16">
        <v>0.5</v>
      </c>
      <c r="J5" s="68" t="s">
        <v>59</v>
      </c>
      <c r="K5" s="76"/>
    </row>
    <row r="6" spans="2:11" x14ac:dyDescent="0.2">
      <c r="B6" s="39"/>
      <c r="K6" s="40"/>
    </row>
    <row r="7" spans="2:11" ht="15" customHeight="1" x14ac:dyDescent="0.2">
      <c r="B7" s="44" t="s">
        <v>60</v>
      </c>
      <c r="C7" s="3" t="s">
        <v>61</v>
      </c>
      <c r="D7" s="3" t="s">
        <v>62</v>
      </c>
      <c r="E7" s="3" t="s">
        <v>63</v>
      </c>
      <c r="F7" s="3" t="s">
        <v>64</v>
      </c>
      <c r="H7" s="48" t="s">
        <v>65</v>
      </c>
      <c r="K7" s="40"/>
    </row>
    <row r="8" spans="2:11" ht="15" customHeight="1" thickBot="1" x14ac:dyDescent="0.25">
      <c r="B8" s="49">
        <v>1</v>
      </c>
      <c r="C8" s="17">
        <v>0</v>
      </c>
      <c r="D8" s="18">
        <v>0.49</v>
      </c>
      <c r="E8" s="17">
        <f t="shared" ref="E8:E37" si="0">IF(D8&gt;=$I$5,1,0)</f>
        <v>0</v>
      </c>
      <c r="F8" s="17" t="str">
        <f t="shared" ref="F8:F37" si="1">IF(AND(C8=1,E8=1),"TP",IF(AND(C8=0,E8=1),"FP",IF(AND(C8=1,E8=0),"FN","TN")))</f>
        <v>TN</v>
      </c>
      <c r="H8" s="6"/>
      <c r="I8" s="19" t="s">
        <v>66</v>
      </c>
      <c r="J8" s="19" t="s">
        <v>67</v>
      </c>
      <c r="K8" s="40"/>
    </row>
    <row r="9" spans="2:11" ht="30" customHeight="1" thickBot="1" x14ac:dyDescent="0.25">
      <c r="B9" s="49">
        <v>2</v>
      </c>
      <c r="C9" s="17">
        <v>1</v>
      </c>
      <c r="D9" s="18">
        <v>0.7</v>
      </c>
      <c r="E9" s="17">
        <f t="shared" si="0"/>
        <v>1</v>
      </c>
      <c r="F9" s="17" t="str">
        <f t="shared" si="1"/>
        <v>TP</v>
      </c>
      <c r="H9" s="19" t="s">
        <v>68</v>
      </c>
      <c r="I9" s="20">
        <f>COUNTIFS($C$8:$C$37,1,$E$8:$E$37,1)</f>
        <v>12</v>
      </c>
      <c r="J9" s="21">
        <f>COUNTIFS($C$8:$C$37,1,$E$8:$E$37,0)</f>
        <v>2</v>
      </c>
      <c r="K9" s="40"/>
    </row>
    <row r="10" spans="2:11" ht="30" customHeight="1" thickBot="1" x14ac:dyDescent="0.25">
      <c r="B10" s="49">
        <v>3</v>
      </c>
      <c r="C10" s="17">
        <v>0</v>
      </c>
      <c r="D10" s="18">
        <v>0.18</v>
      </c>
      <c r="E10" s="17">
        <f t="shared" si="0"/>
        <v>0</v>
      </c>
      <c r="F10" s="17" t="str">
        <f t="shared" si="1"/>
        <v>TN</v>
      </c>
      <c r="H10" s="19" t="s">
        <v>69</v>
      </c>
      <c r="I10" s="21">
        <f>COUNTIFS($C$8:$C$37,0,$E$8:$E$37,1)</f>
        <v>2</v>
      </c>
      <c r="J10" s="20">
        <f>COUNTIFS($C$8:$C$37,0,$E$8:$E$37,0)</f>
        <v>14</v>
      </c>
      <c r="K10" s="40"/>
    </row>
    <row r="11" spans="2:11" ht="15" customHeight="1" x14ac:dyDescent="0.2">
      <c r="B11" s="49">
        <v>4</v>
      </c>
      <c r="C11" s="17">
        <v>1</v>
      </c>
      <c r="D11" s="18">
        <v>0.34</v>
      </c>
      <c r="E11" s="17">
        <f t="shared" si="0"/>
        <v>0</v>
      </c>
      <c r="F11" s="17" t="str">
        <f t="shared" si="1"/>
        <v>FN</v>
      </c>
      <c r="K11" s="40"/>
    </row>
    <row r="12" spans="2:11" ht="15" customHeight="1" x14ac:dyDescent="0.2">
      <c r="B12" s="49">
        <v>5</v>
      </c>
      <c r="C12" s="17">
        <v>0</v>
      </c>
      <c r="D12" s="18">
        <v>0.47</v>
      </c>
      <c r="E12" s="17">
        <f t="shared" si="0"/>
        <v>0</v>
      </c>
      <c r="F12" s="17" t="str">
        <f t="shared" si="1"/>
        <v>TN</v>
      </c>
      <c r="H12" s="15" t="s">
        <v>13</v>
      </c>
      <c r="I12" s="15" t="s">
        <v>41</v>
      </c>
      <c r="J12" s="79" t="s">
        <v>70</v>
      </c>
      <c r="K12" s="80"/>
    </row>
    <row r="13" spans="2:11" ht="15" customHeight="1" x14ac:dyDescent="0.2">
      <c r="B13" s="49">
        <v>6</v>
      </c>
      <c r="C13" s="17">
        <v>0</v>
      </c>
      <c r="D13" s="18">
        <v>0.37</v>
      </c>
      <c r="E13" s="17">
        <f t="shared" si="0"/>
        <v>0</v>
      </c>
      <c r="F13" s="17" t="str">
        <f t="shared" si="1"/>
        <v>TN</v>
      </c>
      <c r="H13" s="4" t="s">
        <v>16</v>
      </c>
      <c r="I13" s="8">
        <f>IFERROR((I9+J10)/(I9+J9+I10+J10),0)</f>
        <v>0.8666666666666667</v>
      </c>
      <c r="J13" s="74" t="s">
        <v>71</v>
      </c>
      <c r="K13" s="75"/>
    </row>
    <row r="14" spans="2:11" ht="15" customHeight="1" x14ac:dyDescent="0.2">
      <c r="B14" s="49">
        <v>7</v>
      </c>
      <c r="C14" s="17">
        <v>1</v>
      </c>
      <c r="D14" s="18">
        <v>0.76</v>
      </c>
      <c r="E14" s="17">
        <f t="shared" si="0"/>
        <v>1</v>
      </c>
      <c r="F14" s="17" t="str">
        <f t="shared" si="1"/>
        <v>TP</v>
      </c>
      <c r="H14" s="4" t="s">
        <v>19</v>
      </c>
      <c r="I14" s="8">
        <f>IFERROR(I9/(I9+I10),0)</f>
        <v>0.8571428571428571</v>
      </c>
      <c r="J14" s="74" t="s">
        <v>72</v>
      </c>
      <c r="K14" s="75"/>
    </row>
    <row r="15" spans="2:11" ht="15" customHeight="1" x14ac:dyDescent="0.2">
      <c r="B15" s="49">
        <v>8</v>
      </c>
      <c r="C15" s="17">
        <v>0</v>
      </c>
      <c r="D15" s="18">
        <v>0.6</v>
      </c>
      <c r="E15" s="17">
        <f t="shared" si="0"/>
        <v>1</v>
      </c>
      <c r="F15" s="17" t="str">
        <f t="shared" si="1"/>
        <v>FP</v>
      </c>
      <c r="H15" s="4" t="s">
        <v>22</v>
      </c>
      <c r="I15" s="8">
        <f>IFERROR(I9/(I9+J9),0)</f>
        <v>0.8571428571428571</v>
      </c>
      <c r="J15" s="74" t="s">
        <v>73</v>
      </c>
      <c r="K15" s="75"/>
    </row>
    <row r="16" spans="2:11" ht="15" customHeight="1" x14ac:dyDescent="0.2">
      <c r="B16" s="49">
        <v>9</v>
      </c>
      <c r="C16" s="17">
        <v>1</v>
      </c>
      <c r="D16" s="18">
        <v>0.4</v>
      </c>
      <c r="E16" s="17">
        <f t="shared" si="0"/>
        <v>0</v>
      </c>
      <c r="F16" s="17" t="str">
        <f t="shared" si="1"/>
        <v>FN</v>
      </c>
      <c r="H16" s="4" t="s">
        <v>25</v>
      </c>
      <c r="I16" s="8">
        <f>IFERROR(J10/(J10+I10),0)</f>
        <v>0.875</v>
      </c>
      <c r="J16" s="74" t="s">
        <v>74</v>
      </c>
      <c r="K16" s="75"/>
    </row>
    <row r="17" spans="2:11" ht="15" customHeight="1" x14ac:dyDescent="0.2">
      <c r="B17" s="49">
        <v>10</v>
      </c>
      <c r="C17" s="17">
        <v>1</v>
      </c>
      <c r="D17" s="18">
        <v>0.51</v>
      </c>
      <c r="E17" s="17">
        <f t="shared" si="0"/>
        <v>1</v>
      </c>
      <c r="F17" s="17" t="str">
        <f t="shared" si="1"/>
        <v>TP</v>
      </c>
      <c r="H17" s="4" t="s">
        <v>28</v>
      </c>
      <c r="I17" s="8">
        <f>IFERROR(2*I14*I15/(I14+I15),0)</f>
        <v>0.8571428571428571</v>
      </c>
      <c r="J17" s="74" t="s">
        <v>75</v>
      </c>
      <c r="K17" s="75"/>
    </row>
    <row r="18" spans="2:11" ht="15" customHeight="1" x14ac:dyDescent="0.2">
      <c r="B18" s="49">
        <v>11</v>
      </c>
      <c r="C18" s="17">
        <v>0</v>
      </c>
      <c r="D18" s="18">
        <v>0.3</v>
      </c>
      <c r="E18" s="17">
        <f t="shared" si="0"/>
        <v>0</v>
      </c>
      <c r="F18" s="17" t="str">
        <f t="shared" si="1"/>
        <v>TN</v>
      </c>
      <c r="K18" s="40"/>
    </row>
    <row r="19" spans="2:11" ht="15" customHeight="1" x14ac:dyDescent="0.2">
      <c r="B19" s="49">
        <v>12</v>
      </c>
      <c r="C19" s="17">
        <v>1</v>
      </c>
      <c r="D19" s="18">
        <v>0.52</v>
      </c>
      <c r="E19" s="17">
        <f t="shared" si="0"/>
        <v>1</v>
      </c>
      <c r="F19" s="17" t="str">
        <f t="shared" si="1"/>
        <v>TP</v>
      </c>
      <c r="H19" s="22" t="s">
        <v>76</v>
      </c>
      <c r="I19" s="23">
        <f>COUNTIF($C$8:$C$37,1)</f>
        <v>14</v>
      </c>
      <c r="K19" s="40"/>
    </row>
    <row r="20" spans="2:11" ht="15" customHeight="1" x14ac:dyDescent="0.2">
      <c r="B20" s="49">
        <v>13</v>
      </c>
      <c r="C20" s="17">
        <v>0</v>
      </c>
      <c r="D20" s="18">
        <v>0.31</v>
      </c>
      <c r="E20" s="17">
        <f t="shared" si="0"/>
        <v>0</v>
      </c>
      <c r="F20" s="17" t="str">
        <f t="shared" si="1"/>
        <v>TN</v>
      </c>
      <c r="H20" s="22" t="s">
        <v>77</v>
      </c>
      <c r="I20" s="23">
        <f>COUNTIF($C$8:$C$37,0)</f>
        <v>16</v>
      </c>
      <c r="K20" s="40"/>
    </row>
    <row r="21" spans="2:11" ht="15" customHeight="1" x14ac:dyDescent="0.2">
      <c r="B21" s="49">
        <v>14</v>
      </c>
      <c r="C21" s="17">
        <v>1</v>
      </c>
      <c r="D21" s="18">
        <v>0.75</v>
      </c>
      <c r="E21" s="17">
        <f t="shared" si="0"/>
        <v>1</v>
      </c>
      <c r="F21" s="17" t="str">
        <f t="shared" si="1"/>
        <v>TP</v>
      </c>
      <c r="H21" s="22" t="s">
        <v>78</v>
      </c>
      <c r="I21" s="23">
        <f>SUM($E$8:$E$37)</f>
        <v>14</v>
      </c>
      <c r="K21" s="40"/>
    </row>
    <row r="22" spans="2:11" ht="15" customHeight="1" x14ac:dyDescent="0.2">
      <c r="B22" s="49">
        <v>15</v>
      </c>
      <c r="C22" s="17">
        <v>0</v>
      </c>
      <c r="D22" s="18">
        <v>0.09</v>
      </c>
      <c r="E22" s="17">
        <f t="shared" si="0"/>
        <v>0</v>
      </c>
      <c r="F22" s="17" t="str">
        <f t="shared" si="1"/>
        <v>TN</v>
      </c>
      <c r="K22" s="40"/>
    </row>
    <row r="23" spans="2:11" ht="15" customHeight="1" x14ac:dyDescent="0.2">
      <c r="B23" s="49">
        <v>16</v>
      </c>
      <c r="C23" s="17">
        <v>0</v>
      </c>
      <c r="D23" s="18">
        <v>0.15</v>
      </c>
      <c r="E23" s="17">
        <f t="shared" si="0"/>
        <v>0</v>
      </c>
      <c r="F23" s="17" t="str">
        <f t="shared" si="1"/>
        <v>TN</v>
      </c>
      <c r="H23" s="68" t="s">
        <v>79</v>
      </c>
      <c r="I23" s="68"/>
      <c r="J23" s="68"/>
      <c r="K23" s="76"/>
    </row>
    <row r="24" spans="2:11" ht="15" customHeight="1" x14ac:dyDescent="0.2">
      <c r="B24" s="49">
        <v>17</v>
      </c>
      <c r="C24" s="17">
        <v>0</v>
      </c>
      <c r="D24" s="18">
        <v>0.52</v>
      </c>
      <c r="E24" s="17">
        <f t="shared" si="0"/>
        <v>1</v>
      </c>
      <c r="F24" s="17" t="str">
        <f t="shared" si="1"/>
        <v>FP</v>
      </c>
      <c r="K24" s="40"/>
    </row>
    <row r="25" spans="2:11" ht="15" customHeight="1" x14ac:dyDescent="0.2">
      <c r="B25" s="49">
        <v>18</v>
      </c>
      <c r="C25" s="17">
        <v>0</v>
      </c>
      <c r="D25" s="18">
        <v>0.32</v>
      </c>
      <c r="E25" s="17">
        <f t="shared" si="0"/>
        <v>0</v>
      </c>
      <c r="F25" s="17" t="str">
        <f t="shared" si="1"/>
        <v>TN</v>
      </c>
      <c r="K25" s="40"/>
    </row>
    <row r="26" spans="2:11" ht="15" customHeight="1" x14ac:dyDescent="0.2">
      <c r="B26" s="49">
        <v>19</v>
      </c>
      <c r="C26" s="17">
        <v>0</v>
      </c>
      <c r="D26" s="18">
        <v>0.09</v>
      </c>
      <c r="E26" s="17">
        <f t="shared" si="0"/>
        <v>0</v>
      </c>
      <c r="F26" s="17" t="str">
        <f t="shared" si="1"/>
        <v>TN</v>
      </c>
      <c r="K26" s="40"/>
    </row>
    <row r="27" spans="2:11" ht="15" customHeight="1" x14ac:dyDescent="0.2">
      <c r="B27" s="49">
        <v>20</v>
      </c>
      <c r="C27" s="17">
        <v>0</v>
      </c>
      <c r="D27" s="18">
        <v>0.11</v>
      </c>
      <c r="E27" s="17">
        <f t="shared" si="0"/>
        <v>0</v>
      </c>
      <c r="F27" s="17" t="str">
        <f t="shared" si="1"/>
        <v>TN</v>
      </c>
      <c r="K27" s="40"/>
    </row>
    <row r="28" spans="2:11" ht="15" customHeight="1" x14ac:dyDescent="0.2">
      <c r="B28" s="49">
        <v>21</v>
      </c>
      <c r="C28" s="17">
        <v>0</v>
      </c>
      <c r="D28" s="18">
        <v>0.47</v>
      </c>
      <c r="E28" s="17">
        <f t="shared" si="0"/>
        <v>0</v>
      </c>
      <c r="F28" s="17" t="str">
        <f t="shared" si="1"/>
        <v>TN</v>
      </c>
      <c r="K28" s="40"/>
    </row>
    <row r="29" spans="2:11" ht="15" customHeight="1" x14ac:dyDescent="0.2">
      <c r="B29" s="49">
        <v>22</v>
      </c>
      <c r="C29" s="17">
        <v>1</v>
      </c>
      <c r="D29" s="18">
        <v>0.72</v>
      </c>
      <c r="E29" s="17">
        <f t="shared" si="0"/>
        <v>1</v>
      </c>
      <c r="F29" s="17" t="str">
        <f t="shared" si="1"/>
        <v>TP</v>
      </c>
      <c r="K29" s="40"/>
    </row>
    <row r="30" spans="2:11" ht="15" customHeight="1" x14ac:dyDescent="0.2">
      <c r="B30" s="49">
        <v>23</v>
      </c>
      <c r="C30" s="17">
        <v>1</v>
      </c>
      <c r="D30" s="18">
        <v>0.69</v>
      </c>
      <c r="E30" s="17">
        <f t="shared" si="0"/>
        <v>1</v>
      </c>
      <c r="F30" s="17" t="str">
        <f t="shared" si="1"/>
        <v>TP</v>
      </c>
      <c r="K30" s="40"/>
    </row>
    <row r="31" spans="2:11" ht="15" customHeight="1" x14ac:dyDescent="0.2">
      <c r="B31" s="49">
        <v>24</v>
      </c>
      <c r="C31" s="17">
        <v>1</v>
      </c>
      <c r="D31" s="18">
        <v>0.76</v>
      </c>
      <c r="E31" s="17">
        <f t="shared" si="0"/>
        <v>1</v>
      </c>
      <c r="F31" s="17" t="str">
        <f t="shared" si="1"/>
        <v>TP</v>
      </c>
      <c r="K31" s="40"/>
    </row>
    <row r="32" spans="2:11" ht="15" customHeight="1" x14ac:dyDescent="0.2">
      <c r="B32" s="49">
        <v>25</v>
      </c>
      <c r="C32" s="17">
        <v>0</v>
      </c>
      <c r="D32" s="18">
        <v>0.24</v>
      </c>
      <c r="E32" s="17">
        <f t="shared" si="0"/>
        <v>0</v>
      </c>
      <c r="F32" s="17" t="str">
        <f t="shared" si="1"/>
        <v>TN</v>
      </c>
      <c r="K32" s="40"/>
    </row>
    <row r="33" spans="2:11" ht="15" customHeight="1" x14ac:dyDescent="0.2">
      <c r="B33" s="49">
        <v>26</v>
      </c>
      <c r="C33" s="17">
        <v>1</v>
      </c>
      <c r="D33" s="18">
        <v>0.81</v>
      </c>
      <c r="E33" s="17">
        <f t="shared" si="0"/>
        <v>1</v>
      </c>
      <c r="F33" s="17" t="str">
        <f t="shared" si="1"/>
        <v>TP</v>
      </c>
      <c r="K33" s="40"/>
    </row>
    <row r="34" spans="2:11" ht="15" customHeight="1" x14ac:dyDescent="0.2">
      <c r="B34" s="49">
        <v>27</v>
      </c>
      <c r="C34" s="17">
        <v>1</v>
      </c>
      <c r="D34" s="18">
        <v>0.92</v>
      </c>
      <c r="E34" s="17">
        <f t="shared" si="0"/>
        <v>1</v>
      </c>
      <c r="F34" s="17" t="str">
        <f t="shared" si="1"/>
        <v>TP</v>
      </c>
      <c r="K34" s="40"/>
    </row>
    <row r="35" spans="2:11" ht="15" customHeight="1" x14ac:dyDescent="0.2">
      <c r="B35" s="49">
        <v>28</v>
      </c>
      <c r="C35" s="17">
        <v>0</v>
      </c>
      <c r="D35" s="18">
        <v>0.25</v>
      </c>
      <c r="E35" s="17">
        <f t="shared" si="0"/>
        <v>0</v>
      </c>
      <c r="F35" s="17" t="str">
        <f t="shared" si="1"/>
        <v>TN</v>
      </c>
      <c r="K35" s="40"/>
    </row>
    <row r="36" spans="2:11" ht="15" customHeight="1" x14ac:dyDescent="0.2">
      <c r="B36" s="49">
        <v>29</v>
      </c>
      <c r="C36" s="17">
        <v>1</v>
      </c>
      <c r="D36" s="18">
        <v>0.67</v>
      </c>
      <c r="E36" s="17">
        <f t="shared" si="0"/>
        <v>1</v>
      </c>
      <c r="F36" s="17" t="str">
        <f t="shared" si="1"/>
        <v>TP</v>
      </c>
      <c r="K36" s="40"/>
    </row>
    <row r="37" spans="2:11" ht="15" customHeight="1" thickBot="1" x14ac:dyDescent="0.25">
      <c r="B37" s="50">
        <v>30</v>
      </c>
      <c r="C37" s="51">
        <v>1</v>
      </c>
      <c r="D37" s="52">
        <v>0.56999999999999995</v>
      </c>
      <c r="E37" s="51">
        <f t="shared" si="0"/>
        <v>1</v>
      </c>
      <c r="F37" s="51" t="str">
        <f t="shared" si="1"/>
        <v>TP</v>
      </c>
      <c r="G37" s="53"/>
      <c r="H37" s="53"/>
      <c r="I37" s="53"/>
      <c r="J37" s="53"/>
      <c r="K37" s="54"/>
    </row>
  </sheetData>
  <mergeCells count="10">
    <mergeCell ref="B2:K2"/>
    <mergeCell ref="B3:K3"/>
    <mergeCell ref="J5:K5"/>
    <mergeCell ref="J12:K12"/>
    <mergeCell ref="J13:K13"/>
    <mergeCell ref="J14:K14"/>
    <mergeCell ref="J15:K15"/>
    <mergeCell ref="J16:K16"/>
    <mergeCell ref="J17:K17"/>
    <mergeCell ref="H23:K23"/>
  </mergeCells>
  <conditionalFormatting sqref="E8:E37">
    <cfRule type="cellIs" dxfId="16" priority="6" operator="equal">
      <formula>1</formula>
    </cfRule>
  </conditionalFormatting>
  <conditionalFormatting sqref="F8:F37">
    <cfRule type="cellIs" dxfId="15" priority="2" operator="equal">
      <formula>"TP"</formula>
    </cfRule>
    <cfRule type="cellIs" dxfId="14" priority="3" operator="equal">
      <formula>"TN"</formula>
    </cfRule>
    <cfRule type="cellIs" dxfId="13" priority="4" operator="equal">
      <formula>"FP"</formula>
    </cfRule>
    <cfRule type="cellIs" dxfId="12" priority="5" operator="equal">
      <formula>"FN"</formula>
    </cfRule>
  </conditionalFormatting>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9"/>
  <sheetViews>
    <sheetView showGridLines="0" tabSelected="1" topLeftCell="A6" zoomScaleNormal="100" workbookViewId="0">
      <selection activeCell="C19" sqref="C19:E19"/>
    </sheetView>
  </sheetViews>
  <sheetFormatPr baseColWidth="10" defaultColWidth="8.6640625" defaultRowHeight="15" x14ac:dyDescent="0.2"/>
  <cols>
    <col min="1" max="1" width="2.5" customWidth="1"/>
    <col min="2" max="2" width="25.33203125" customWidth="1"/>
    <col min="3" max="3" width="49.83203125" bestFit="1" customWidth="1"/>
    <col min="4" max="4" width="33.33203125" bestFit="1" customWidth="1"/>
    <col min="5" max="5" width="37.83203125" bestFit="1" customWidth="1"/>
  </cols>
  <sheetData>
    <row r="2" spans="2:5" ht="30" customHeight="1" x14ac:dyDescent="0.2">
      <c r="B2" s="69" t="s">
        <v>80</v>
      </c>
      <c r="C2" s="69"/>
      <c r="D2" s="69"/>
      <c r="E2" s="69"/>
    </row>
    <row r="3" spans="2:5" ht="30" customHeight="1" x14ac:dyDescent="0.2">
      <c r="B3" s="70" t="s">
        <v>81</v>
      </c>
      <c r="C3" s="70"/>
      <c r="D3" s="70"/>
      <c r="E3" s="70"/>
    </row>
    <row r="5" spans="2:5" x14ac:dyDescent="0.2">
      <c r="B5" s="3" t="s">
        <v>82</v>
      </c>
      <c r="C5" s="3" t="s">
        <v>83</v>
      </c>
      <c r="D5" s="3" t="s">
        <v>84</v>
      </c>
      <c r="E5" s="3" t="s">
        <v>85</v>
      </c>
    </row>
    <row r="6" spans="2:5" ht="51.75" customHeight="1" x14ac:dyDescent="0.2">
      <c r="B6" s="24" t="s">
        <v>86</v>
      </c>
      <c r="C6" s="25" t="s">
        <v>87</v>
      </c>
      <c r="D6" s="25" t="s">
        <v>88</v>
      </c>
      <c r="E6" s="25" t="s">
        <v>89</v>
      </c>
    </row>
    <row r="7" spans="2:5" ht="51.75" customHeight="1" x14ac:dyDescent="0.2">
      <c r="B7" s="26" t="s">
        <v>90</v>
      </c>
      <c r="C7" s="27" t="s">
        <v>91</v>
      </c>
      <c r="D7" s="27" t="s">
        <v>92</v>
      </c>
      <c r="E7" s="27" t="s">
        <v>93</v>
      </c>
    </row>
    <row r="8" spans="2:5" ht="51.75" customHeight="1" x14ac:dyDescent="0.2">
      <c r="B8" s="24" t="s">
        <v>94</v>
      </c>
      <c r="C8" s="25" t="s">
        <v>95</v>
      </c>
      <c r="D8" s="25" t="s">
        <v>96</v>
      </c>
      <c r="E8" s="25" t="s">
        <v>97</v>
      </c>
    </row>
    <row r="9" spans="2:5" ht="51.75" customHeight="1" x14ac:dyDescent="0.2">
      <c r="B9" s="26" t="s">
        <v>98</v>
      </c>
      <c r="C9" s="27" t="s">
        <v>99</v>
      </c>
      <c r="D9" s="27" t="s">
        <v>100</v>
      </c>
      <c r="E9" s="27" t="s">
        <v>101</v>
      </c>
    </row>
    <row r="10" spans="2:5" ht="51.75" customHeight="1" x14ac:dyDescent="0.2">
      <c r="B10" s="24" t="s">
        <v>102</v>
      </c>
      <c r="C10" s="25" t="s">
        <v>103</v>
      </c>
      <c r="D10" s="25" t="s">
        <v>104</v>
      </c>
      <c r="E10" s="25" t="s">
        <v>105</v>
      </c>
    </row>
    <row r="11" spans="2:5" ht="51.75" customHeight="1" x14ac:dyDescent="0.2">
      <c r="B11" s="26" t="s">
        <v>106</v>
      </c>
      <c r="C11" s="27" t="s">
        <v>107</v>
      </c>
      <c r="D11" s="27" t="s">
        <v>108</v>
      </c>
      <c r="E11" s="27" t="s">
        <v>109</v>
      </c>
    </row>
    <row r="12" spans="2:5" ht="51.75" customHeight="1" x14ac:dyDescent="0.2">
      <c r="B12" s="24" t="s">
        <v>110</v>
      </c>
      <c r="C12" s="25" t="s">
        <v>111</v>
      </c>
      <c r="D12" s="25" t="s">
        <v>112</v>
      </c>
      <c r="E12" s="25" t="s">
        <v>113</v>
      </c>
    </row>
    <row r="13" spans="2:5" ht="51.75" customHeight="1" x14ac:dyDescent="0.2">
      <c r="B13" s="26" t="s">
        <v>114</v>
      </c>
      <c r="C13" s="27" t="s">
        <v>115</v>
      </c>
      <c r="D13" s="27" t="s">
        <v>116</v>
      </c>
      <c r="E13" s="27" t="s">
        <v>117</v>
      </c>
    </row>
    <row r="14" spans="2:5" ht="51.75" customHeight="1" x14ac:dyDescent="0.2">
      <c r="B14" s="24" t="s">
        <v>118</v>
      </c>
      <c r="C14" s="25" t="s">
        <v>119</v>
      </c>
      <c r="D14" s="25" t="s">
        <v>120</v>
      </c>
      <c r="E14" s="25" t="s">
        <v>121</v>
      </c>
    </row>
    <row r="15" spans="2:5" ht="51.75" customHeight="1" x14ac:dyDescent="0.2">
      <c r="B15" s="26" t="s">
        <v>122</v>
      </c>
      <c r="C15" s="27" t="s">
        <v>123</v>
      </c>
      <c r="D15" s="27" t="s">
        <v>124</v>
      </c>
      <c r="E15" s="27" t="s">
        <v>125</v>
      </c>
    </row>
    <row r="16" spans="2:5" ht="51.75" customHeight="1" x14ac:dyDescent="0.2">
      <c r="B16" s="24" t="s">
        <v>126</v>
      </c>
      <c r="C16" s="25" t="s">
        <v>127</v>
      </c>
      <c r="D16" s="25" t="s">
        <v>128</v>
      </c>
      <c r="E16" s="25" t="s">
        <v>129</v>
      </c>
    </row>
    <row r="17" spans="2:5" ht="51.75" customHeight="1" x14ac:dyDescent="0.2">
      <c r="B17" s="26" t="s">
        <v>130</v>
      </c>
      <c r="C17" s="27" t="s">
        <v>131</v>
      </c>
      <c r="D17" s="27" t="s">
        <v>132</v>
      </c>
      <c r="E17" s="27" t="s">
        <v>133</v>
      </c>
    </row>
    <row r="19" spans="2:5" ht="30" customHeight="1" x14ac:dyDescent="0.2">
      <c r="B19" s="28" t="s">
        <v>134</v>
      </c>
      <c r="C19" s="70" t="s">
        <v>135</v>
      </c>
      <c r="D19" s="70"/>
      <c r="E19" s="70"/>
    </row>
  </sheetData>
  <mergeCells count="3">
    <mergeCell ref="B2:E2"/>
    <mergeCell ref="B3:E3"/>
    <mergeCell ref="C19:E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38"/>
  <sheetViews>
    <sheetView showGridLines="0" topLeftCell="A14" zoomScaleNormal="100" workbookViewId="0">
      <selection activeCell="J4" sqref="J4"/>
    </sheetView>
  </sheetViews>
  <sheetFormatPr baseColWidth="10" defaultColWidth="8.6640625" defaultRowHeight="15" x14ac:dyDescent="0.2"/>
  <cols>
    <col min="1" max="1" width="2.5" customWidth="1"/>
    <col min="2" max="2" width="18" customWidth="1"/>
    <col min="3" max="14" width="5.5" customWidth="1"/>
    <col min="15" max="15" width="3" customWidth="1"/>
    <col min="16" max="17" width="10" customWidth="1"/>
  </cols>
  <sheetData>
    <row r="2" spans="2:17" ht="27.75" customHeight="1" x14ac:dyDescent="0.2">
      <c r="B2" s="69" t="s">
        <v>136</v>
      </c>
      <c r="C2" s="69"/>
      <c r="D2" s="69"/>
      <c r="E2" s="69"/>
      <c r="F2" s="69"/>
      <c r="G2" s="69"/>
      <c r="H2" s="69"/>
      <c r="I2" s="69"/>
      <c r="J2" s="69"/>
      <c r="K2" s="69"/>
      <c r="L2" s="69"/>
      <c r="M2" s="69"/>
      <c r="N2" s="69"/>
      <c r="O2" s="69"/>
      <c r="P2" s="69"/>
      <c r="Q2" s="69"/>
    </row>
    <row r="3" spans="2:17" ht="24" customHeight="1" x14ac:dyDescent="0.2">
      <c r="B3" s="70" t="s">
        <v>137</v>
      </c>
      <c r="C3" s="70"/>
      <c r="D3" s="70"/>
      <c r="E3" s="70"/>
      <c r="F3" s="70"/>
      <c r="G3" s="70"/>
      <c r="H3" s="70"/>
      <c r="I3" s="70"/>
      <c r="J3" s="70"/>
      <c r="K3" s="70"/>
      <c r="L3" s="70"/>
      <c r="M3" s="70"/>
      <c r="N3" s="70"/>
      <c r="O3" s="70"/>
      <c r="P3" s="70"/>
      <c r="Q3" s="70"/>
    </row>
    <row r="5" spans="2:17" ht="17" x14ac:dyDescent="0.2">
      <c r="B5" s="2" t="s">
        <v>138</v>
      </c>
    </row>
    <row r="6" spans="2:17" ht="32.75" customHeight="1" x14ac:dyDescent="0.2">
      <c r="B6" s="22" t="s">
        <v>139</v>
      </c>
      <c r="C6" s="29">
        <v>0.2</v>
      </c>
      <c r="D6" s="68" t="s">
        <v>140</v>
      </c>
      <c r="E6" s="68"/>
      <c r="F6" s="68"/>
    </row>
    <row r="7" spans="2:17" x14ac:dyDescent="0.2">
      <c r="B7" s="6"/>
      <c r="C7" s="30" t="s">
        <v>141</v>
      </c>
      <c r="D7" s="30" t="s">
        <v>142</v>
      </c>
      <c r="E7" s="30" t="s">
        <v>143</v>
      </c>
      <c r="F7" s="30" t="s">
        <v>144</v>
      </c>
      <c r="G7" s="30" t="s">
        <v>145</v>
      </c>
      <c r="H7" s="30" t="s">
        <v>146</v>
      </c>
      <c r="I7" s="30" t="s">
        <v>147</v>
      </c>
      <c r="J7" s="30" t="s">
        <v>148</v>
      </c>
      <c r="K7" s="30" t="s">
        <v>149</v>
      </c>
      <c r="L7" s="30" t="s">
        <v>150</v>
      </c>
      <c r="M7" s="30" t="s">
        <v>151</v>
      </c>
      <c r="N7" s="30" t="s">
        <v>152</v>
      </c>
      <c r="P7" s="31" t="s">
        <v>153</v>
      </c>
      <c r="Q7" s="32" t="s">
        <v>154</v>
      </c>
    </row>
    <row r="8" spans="2:17" x14ac:dyDescent="0.2">
      <c r="B8" s="22" t="s">
        <v>155</v>
      </c>
      <c r="C8" s="33" t="str">
        <f>IF(1&gt;(12-ROUND($C$6*12,0)),"Te","Tr")</f>
        <v>Tr</v>
      </c>
      <c r="D8" s="33" t="str">
        <f>IF(2&gt;(12-ROUND($C$6*12,0)),"Te","Tr")</f>
        <v>Tr</v>
      </c>
      <c r="E8" s="33" t="str">
        <f>IF(3&gt;(12-ROUND($C$6*12,0)),"Te","Tr")</f>
        <v>Tr</v>
      </c>
      <c r="F8" s="33" t="str">
        <f>IF(4&gt;(12-ROUND($C$6*12,0)),"Te","Tr")</f>
        <v>Tr</v>
      </c>
      <c r="G8" s="33" t="str">
        <f>IF(5&gt;(12-ROUND($C$6*12,0)),"Te","Tr")</f>
        <v>Tr</v>
      </c>
      <c r="H8" s="33" t="str">
        <f>IF(6&gt;(12-ROUND($C$6*12,0)),"Te","Tr")</f>
        <v>Tr</v>
      </c>
      <c r="I8" s="33" t="str">
        <f>IF(7&gt;(12-ROUND($C$6*12,0)),"Te","Tr")</f>
        <v>Tr</v>
      </c>
      <c r="J8" s="33" t="str">
        <f>IF(8&gt;(12-ROUND($C$6*12,0)),"Te","Tr")</f>
        <v>Tr</v>
      </c>
      <c r="K8" s="33" t="str">
        <f>IF(9&gt;(12-ROUND($C$6*12,0)),"Te","Tr")</f>
        <v>Tr</v>
      </c>
      <c r="L8" s="33" t="str">
        <f>IF(10&gt;(12-ROUND($C$6*12,0)),"Te","Tr")</f>
        <v>Tr</v>
      </c>
      <c r="M8" s="33" t="str">
        <f>IF(11&gt;(12-ROUND($C$6*12,0)),"Te","Tr")</f>
        <v>Te</v>
      </c>
      <c r="N8" s="33" t="str">
        <f>IF(12&gt;(12-ROUND($C$6*12,0)),"Te","Tr")</f>
        <v>Te</v>
      </c>
      <c r="P8" s="17">
        <f>COUNTIF(C8:N8,"Tr")</f>
        <v>10</v>
      </c>
      <c r="Q8" s="17">
        <f>COUNTIF(C8:N8,"Te")</f>
        <v>2</v>
      </c>
    </row>
    <row r="11" spans="2:17" ht="17" x14ac:dyDescent="0.2">
      <c r="B11" s="2" t="s">
        <v>156</v>
      </c>
    </row>
    <row r="12" spans="2:17" ht="32.75" customHeight="1" x14ac:dyDescent="0.2">
      <c r="B12" s="22" t="s">
        <v>157</v>
      </c>
      <c r="C12" s="34">
        <v>4</v>
      </c>
      <c r="D12" s="68" t="s">
        <v>158</v>
      </c>
      <c r="E12" s="68"/>
      <c r="F12" s="68"/>
      <c r="G12" s="68"/>
      <c r="H12" s="68"/>
    </row>
    <row r="13" spans="2:17" x14ac:dyDescent="0.2">
      <c r="B13" s="1" t="s">
        <v>159</v>
      </c>
      <c r="C13" s="35">
        <f>INT((0)*$C$12/12)+1</f>
        <v>1</v>
      </c>
      <c r="D13" s="35">
        <f>INT((1)*$C$12/12)+1</f>
        <v>1</v>
      </c>
      <c r="E13" s="35">
        <f>INT((2)*$C$12/12)+1</f>
        <v>1</v>
      </c>
      <c r="F13" s="35">
        <f>INT((3)*$C$12/12)+1</f>
        <v>2</v>
      </c>
      <c r="G13" s="35">
        <f>INT((4)*$C$12/12)+1</f>
        <v>2</v>
      </c>
      <c r="H13" s="35">
        <f>INT((5)*$C$12/12)+1</f>
        <v>2</v>
      </c>
      <c r="I13" s="35">
        <f>INT((6)*$C$12/12)+1</f>
        <v>3</v>
      </c>
      <c r="J13" s="35">
        <f>INT((7)*$C$12/12)+1</f>
        <v>3</v>
      </c>
      <c r="K13" s="35">
        <f>INT((8)*$C$12/12)+1</f>
        <v>3</v>
      </c>
      <c r="L13" s="35">
        <f>INT((9)*$C$12/12)+1</f>
        <v>4</v>
      </c>
      <c r="M13" s="35">
        <f>INT((10)*$C$12/12)+1</f>
        <v>4</v>
      </c>
      <c r="N13" s="35">
        <f>INT((11)*$C$12/12)+1</f>
        <v>4</v>
      </c>
    </row>
    <row r="14" spans="2:17" x14ac:dyDescent="0.2">
      <c r="B14" s="6"/>
      <c r="C14" s="30" t="s">
        <v>141</v>
      </c>
      <c r="D14" s="30" t="s">
        <v>142</v>
      </c>
      <c r="E14" s="30" t="s">
        <v>143</v>
      </c>
      <c r="F14" s="30" t="s">
        <v>144</v>
      </c>
      <c r="G14" s="30" t="s">
        <v>145</v>
      </c>
      <c r="H14" s="30" t="s">
        <v>146</v>
      </c>
      <c r="I14" s="30" t="s">
        <v>147</v>
      </c>
      <c r="J14" s="30" t="s">
        <v>148</v>
      </c>
      <c r="K14" s="30" t="s">
        <v>149</v>
      </c>
      <c r="L14" s="30" t="s">
        <v>150</v>
      </c>
      <c r="M14" s="30" t="s">
        <v>151</v>
      </c>
      <c r="N14" s="30" t="s">
        <v>152</v>
      </c>
      <c r="P14" s="31" t="s">
        <v>153</v>
      </c>
      <c r="Q14" s="32" t="s">
        <v>154</v>
      </c>
    </row>
    <row r="15" spans="2:17" x14ac:dyDescent="0.2">
      <c r="B15" s="36" t="str">
        <f>IF(1&gt;$C$12,"(inactive)","Iteration 1 — test fold 1")</f>
        <v>Iteration 1 — test fold 1</v>
      </c>
      <c r="C15" s="33" t="str">
        <f t="shared" ref="C15:N15" si="0">IF(1&gt;$C$12,"·",IF(C13=1,"Te","Tr"))</f>
        <v>Te</v>
      </c>
      <c r="D15" s="33" t="str">
        <f t="shared" si="0"/>
        <v>Te</v>
      </c>
      <c r="E15" s="33" t="str">
        <f t="shared" si="0"/>
        <v>Te</v>
      </c>
      <c r="F15" s="33" t="str">
        <f t="shared" si="0"/>
        <v>Tr</v>
      </c>
      <c r="G15" s="33" t="str">
        <f t="shared" si="0"/>
        <v>Tr</v>
      </c>
      <c r="H15" s="33" t="str">
        <f t="shared" si="0"/>
        <v>Tr</v>
      </c>
      <c r="I15" s="33" t="str">
        <f t="shared" si="0"/>
        <v>Tr</v>
      </c>
      <c r="J15" s="33" t="str">
        <f t="shared" si="0"/>
        <v>Tr</v>
      </c>
      <c r="K15" s="33" t="str">
        <f>IF(1&gt;$C$12,"·",IF(K13=1,"Te","Tr"))</f>
        <v>Tr</v>
      </c>
      <c r="L15" s="33" t="str">
        <f t="shared" si="0"/>
        <v>Tr</v>
      </c>
      <c r="M15" s="33" t="str">
        <f t="shared" si="0"/>
        <v>Tr</v>
      </c>
      <c r="N15" s="33" t="str">
        <f t="shared" si="0"/>
        <v>Tr</v>
      </c>
      <c r="P15" s="37">
        <f t="shared" ref="P15:P26" si="1">COUNTIF(C15:N15,"Tr")</f>
        <v>9</v>
      </c>
      <c r="Q15" s="37">
        <f t="shared" ref="Q15:Q26" si="2">COUNTIF(C15:N15,"Te")</f>
        <v>3</v>
      </c>
    </row>
    <row r="16" spans="2:17" x14ac:dyDescent="0.2">
      <c r="B16" s="36" t="str">
        <f>IF(2&gt;$C$12,"(inactive)","Iteration 2 — test fold 2")</f>
        <v>Iteration 2 — test fold 2</v>
      </c>
      <c r="C16" s="33" t="str">
        <f t="shared" ref="C16:N16" si="3">IF(2&gt;$C$12,"·",IF(C13=2,"Te","Tr"))</f>
        <v>Tr</v>
      </c>
      <c r="D16" s="33" t="str">
        <f t="shared" si="3"/>
        <v>Tr</v>
      </c>
      <c r="E16" s="33" t="str">
        <f t="shared" si="3"/>
        <v>Tr</v>
      </c>
      <c r="F16" s="33" t="str">
        <f t="shared" si="3"/>
        <v>Te</v>
      </c>
      <c r="G16" s="33" t="str">
        <f t="shared" si="3"/>
        <v>Te</v>
      </c>
      <c r="H16" s="33" t="str">
        <f t="shared" si="3"/>
        <v>Te</v>
      </c>
      <c r="I16" s="33" t="str">
        <f t="shared" si="3"/>
        <v>Tr</v>
      </c>
      <c r="J16" s="33" t="str">
        <f t="shared" si="3"/>
        <v>Tr</v>
      </c>
      <c r="K16" s="33" t="str">
        <f t="shared" si="3"/>
        <v>Tr</v>
      </c>
      <c r="L16" s="33" t="str">
        <f t="shared" si="3"/>
        <v>Tr</v>
      </c>
      <c r="M16" s="33" t="str">
        <f t="shared" si="3"/>
        <v>Tr</v>
      </c>
      <c r="N16" s="33" t="str">
        <f t="shared" si="3"/>
        <v>Tr</v>
      </c>
      <c r="P16" s="37">
        <f t="shared" si="1"/>
        <v>9</v>
      </c>
      <c r="Q16" s="37">
        <f t="shared" si="2"/>
        <v>3</v>
      </c>
    </row>
    <row r="17" spans="2:17" x14ac:dyDescent="0.2">
      <c r="B17" s="36" t="str">
        <f>IF(3&gt;$C$12,"(inactive)","Iteration 3 — test fold 3")</f>
        <v>Iteration 3 — test fold 3</v>
      </c>
      <c r="C17" s="33" t="str">
        <f t="shared" ref="C17:N17" si="4">IF(3&gt;$C$12,"·",IF(C13=3,"Te","Tr"))</f>
        <v>Tr</v>
      </c>
      <c r="D17" s="33" t="str">
        <f t="shared" si="4"/>
        <v>Tr</v>
      </c>
      <c r="E17" s="33" t="str">
        <f t="shared" si="4"/>
        <v>Tr</v>
      </c>
      <c r="F17" s="33" t="str">
        <f t="shared" si="4"/>
        <v>Tr</v>
      </c>
      <c r="G17" s="33" t="str">
        <f t="shared" si="4"/>
        <v>Tr</v>
      </c>
      <c r="H17" s="33" t="str">
        <f t="shared" si="4"/>
        <v>Tr</v>
      </c>
      <c r="I17" s="33" t="str">
        <f t="shared" si="4"/>
        <v>Te</v>
      </c>
      <c r="J17" s="33" t="str">
        <f t="shared" si="4"/>
        <v>Te</v>
      </c>
      <c r="K17" s="33" t="str">
        <f t="shared" si="4"/>
        <v>Te</v>
      </c>
      <c r="L17" s="33" t="str">
        <f t="shared" si="4"/>
        <v>Tr</v>
      </c>
      <c r="M17" s="33" t="str">
        <f t="shared" si="4"/>
        <v>Tr</v>
      </c>
      <c r="N17" s="33" t="str">
        <f t="shared" si="4"/>
        <v>Tr</v>
      </c>
      <c r="P17" s="37">
        <f t="shared" si="1"/>
        <v>9</v>
      </c>
      <c r="Q17" s="37">
        <f t="shared" si="2"/>
        <v>3</v>
      </c>
    </row>
    <row r="18" spans="2:17" x14ac:dyDescent="0.2">
      <c r="B18" s="36" t="str">
        <f>IF(4&gt;$C$12,"(inactive)","Iteration 4 — test fold 4")</f>
        <v>Iteration 4 — test fold 4</v>
      </c>
      <c r="C18" s="33" t="str">
        <f t="shared" ref="C18:N18" si="5">IF(4&gt;$C$12,"·",IF(C13=4,"Te","Tr"))</f>
        <v>Tr</v>
      </c>
      <c r="D18" s="33" t="str">
        <f t="shared" si="5"/>
        <v>Tr</v>
      </c>
      <c r="E18" s="33" t="str">
        <f t="shared" si="5"/>
        <v>Tr</v>
      </c>
      <c r="F18" s="33" t="str">
        <f t="shared" si="5"/>
        <v>Tr</v>
      </c>
      <c r="G18" s="33" t="str">
        <f t="shared" si="5"/>
        <v>Tr</v>
      </c>
      <c r="H18" s="33" t="str">
        <f t="shared" si="5"/>
        <v>Tr</v>
      </c>
      <c r="I18" s="33" t="str">
        <f t="shared" si="5"/>
        <v>Tr</v>
      </c>
      <c r="J18" s="33" t="str">
        <f t="shared" si="5"/>
        <v>Tr</v>
      </c>
      <c r="K18" s="33" t="str">
        <f t="shared" si="5"/>
        <v>Tr</v>
      </c>
      <c r="L18" s="33" t="str">
        <f t="shared" si="5"/>
        <v>Te</v>
      </c>
      <c r="M18" s="33" t="str">
        <f t="shared" si="5"/>
        <v>Te</v>
      </c>
      <c r="N18" s="33" t="str">
        <f t="shared" si="5"/>
        <v>Te</v>
      </c>
      <c r="P18" s="37">
        <f t="shared" si="1"/>
        <v>9</v>
      </c>
      <c r="Q18" s="37">
        <f t="shared" si="2"/>
        <v>3</v>
      </c>
    </row>
    <row r="19" spans="2:17" x14ac:dyDescent="0.2">
      <c r="B19" s="36" t="str">
        <f>IF(5&gt;$C$12,"(inactive)","Iteration 5 — test fold 5")</f>
        <v>(inactive)</v>
      </c>
      <c r="C19" s="33" t="str">
        <f t="shared" ref="C19:N19" si="6">IF(5&gt;$C$12,"·",IF(C13=5,"Te","Tr"))</f>
        <v>·</v>
      </c>
      <c r="D19" s="33" t="str">
        <f t="shared" si="6"/>
        <v>·</v>
      </c>
      <c r="E19" s="33" t="str">
        <f t="shared" si="6"/>
        <v>·</v>
      </c>
      <c r="F19" s="33" t="str">
        <f t="shared" si="6"/>
        <v>·</v>
      </c>
      <c r="G19" s="33" t="str">
        <f t="shared" si="6"/>
        <v>·</v>
      </c>
      <c r="H19" s="33" t="str">
        <f t="shared" si="6"/>
        <v>·</v>
      </c>
      <c r="I19" s="33" t="str">
        <f t="shared" si="6"/>
        <v>·</v>
      </c>
      <c r="J19" s="33" t="str">
        <f t="shared" si="6"/>
        <v>·</v>
      </c>
      <c r="K19" s="33" t="str">
        <f t="shared" si="6"/>
        <v>·</v>
      </c>
      <c r="L19" s="33" t="str">
        <f t="shared" si="6"/>
        <v>·</v>
      </c>
      <c r="M19" s="33" t="str">
        <f t="shared" si="6"/>
        <v>·</v>
      </c>
      <c r="N19" s="33" t="str">
        <f t="shared" si="6"/>
        <v>·</v>
      </c>
      <c r="P19" s="37">
        <f t="shared" si="1"/>
        <v>0</v>
      </c>
      <c r="Q19" s="37">
        <f t="shared" si="2"/>
        <v>0</v>
      </c>
    </row>
    <row r="20" spans="2:17" x14ac:dyDescent="0.2">
      <c r="B20" s="36" t="str">
        <f>IF(6&gt;$C$12,"(inactive)","Iteration 6 — test fold 6")</f>
        <v>(inactive)</v>
      </c>
      <c r="C20" s="33" t="str">
        <f t="shared" ref="C20:N20" si="7">IF(6&gt;$C$12,"·",IF(C13=6,"Te","Tr"))</f>
        <v>·</v>
      </c>
      <c r="D20" s="33" t="str">
        <f t="shared" si="7"/>
        <v>·</v>
      </c>
      <c r="E20" s="33" t="str">
        <f t="shared" si="7"/>
        <v>·</v>
      </c>
      <c r="F20" s="33" t="str">
        <f t="shared" si="7"/>
        <v>·</v>
      </c>
      <c r="G20" s="33" t="str">
        <f t="shared" si="7"/>
        <v>·</v>
      </c>
      <c r="H20" s="33" t="str">
        <f t="shared" si="7"/>
        <v>·</v>
      </c>
      <c r="I20" s="33" t="str">
        <f t="shared" si="7"/>
        <v>·</v>
      </c>
      <c r="J20" s="33" t="str">
        <f t="shared" si="7"/>
        <v>·</v>
      </c>
      <c r="K20" s="33" t="str">
        <f t="shared" si="7"/>
        <v>·</v>
      </c>
      <c r="L20" s="33" t="str">
        <f t="shared" si="7"/>
        <v>·</v>
      </c>
      <c r="M20" s="33" t="str">
        <f t="shared" si="7"/>
        <v>·</v>
      </c>
      <c r="N20" s="33" t="str">
        <f t="shared" si="7"/>
        <v>·</v>
      </c>
      <c r="P20" s="37">
        <f t="shared" si="1"/>
        <v>0</v>
      </c>
      <c r="Q20" s="37">
        <f t="shared" si="2"/>
        <v>0</v>
      </c>
    </row>
    <row r="21" spans="2:17" x14ac:dyDescent="0.2">
      <c r="B21" s="36" t="str">
        <f>IF(7&gt;$C$12,"(inactive)","Iteration 7 — test fold 7")</f>
        <v>(inactive)</v>
      </c>
      <c r="C21" s="33" t="str">
        <f t="shared" ref="C21:N21" si="8">IF(7&gt;$C$12,"·",IF(C13=7,"Te","Tr"))</f>
        <v>·</v>
      </c>
      <c r="D21" s="33" t="str">
        <f t="shared" si="8"/>
        <v>·</v>
      </c>
      <c r="E21" s="33" t="str">
        <f t="shared" si="8"/>
        <v>·</v>
      </c>
      <c r="F21" s="33" t="str">
        <f t="shared" si="8"/>
        <v>·</v>
      </c>
      <c r="G21" s="33" t="str">
        <f t="shared" si="8"/>
        <v>·</v>
      </c>
      <c r="H21" s="33" t="str">
        <f t="shared" si="8"/>
        <v>·</v>
      </c>
      <c r="I21" s="33" t="str">
        <f t="shared" si="8"/>
        <v>·</v>
      </c>
      <c r="J21" s="33" t="str">
        <f t="shared" si="8"/>
        <v>·</v>
      </c>
      <c r="K21" s="33" t="str">
        <f t="shared" si="8"/>
        <v>·</v>
      </c>
      <c r="L21" s="33" t="str">
        <f t="shared" si="8"/>
        <v>·</v>
      </c>
      <c r="M21" s="33" t="str">
        <f t="shared" si="8"/>
        <v>·</v>
      </c>
      <c r="N21" s="33" t="str">
        <f t="shared" si="8"/>
        <v>·</v>
      </c>
      <c r="P21" s="37">
        <f t="shared" si="1"/>
        <v>0</v>
      </c>
      <c r="Q21" s="37">
        <f t="shared" si="2"/>
        <v>0</v>
      </c>
    </row>
    <row r="22" spans="2:17" x14ac:dyDescent="0.2">
      <c r="B22" s="36" t="str">
        <f>IF(8&gt;$C$12,"(inactive)","Iteration 8 — test fold 8")</f>
        <v>(inactive)</v>
      </c>
      <c r="C22" s="33" t="str">
        <f t="shared" ref="C22:N22" si="9">IF(8&gt;$C$12,"·",IF(C13=8,"Te","Tr"))</f>
        <v>·</v>
      </c>
      <c r="D22" s="33" t="str">
        <f t="shared" si="9"/>
        <v>·</v>
      </c>
      <c r="E22" s="33" t="str">
        <f t="shared" si="9"/>
        <v>·</v>
      </c>
      <c r="F22" s="33" t="str">
        <f t="shared" si="9"/>
        <v>·</v>
      </c>
      <c r="G22" s="33" t="str">
        <f t="shared" si="9"/>
        <v>·</v>
      </c>
      <c r="H22" s="33" t="str">
        <f t="shared" si="9"/>
        <v>·</v>
      </c>
      <c r="I22" s="33" t="str">
        <f t="shared" si="9"/>
        <v>·</v>
      </c>
      <c r="J22" s="33" t="str">
        <f t="shared" si="9"/>
        <v>·</v>
      </c>
      <c r="K22" s="33" t="str">
        <f t="shared" si="9"/>
        <v>·</v>
      </c>
      <c r="L22" s="33" t="str">
        <f t="shared" si="9"/>
        <v>·</v>
      </c>
      <c r="M22" s="33" t="str">
        <f t="shared" si="9"/>
        <v>·</v>
      </c>
      <c r="N22" s="33" t="str">
        <f t="shared" si="9"/>
        <v>·</v>
      </c>
      <c r="P22" s="37">
        <f t="shared" si="1"/>
        <v>0</v>
      </c>
      <c r="Q22" s="37">
        <f t="shared" si="2"/>
        <v>0</v>
      </c>
    </row>
    <row r="23" spans="2:17" x14ac:dyDescent="0.2">
      <c r="B23" s="36" t="str">
        <f>IF(9&gt;$C$12,"(inactive)","Iteration 9 — test fold 9")</f>
        <v>(inactive)</v>
      </c>
      <c r="C23" s="33" t="str">
        <f t="shared" ref="C23:N23" si="10">IF(9&gt;$C$12,"·",IF(C13=9,"Te","Tr"))</f>
        <v>·</v>
      </c>
      <c r="D23" s="33" t="str">
        <f t="shared" si="10"/>
        <v>·</v>
      </c>
      <c r="E23" s="33" t="str">
        <f t="shared" si="10"/>
        <v>·</v>
      </c>
      <c r="F23" s="33" t="str">
        <f t="shared" si="10"/>
        <v>·</v>
      </c>
      <c r="G23" s="33" t="str">
        <f t="shared" si="10"/>
        <v>·</v>
      </c>
      <c r="H23" s="33" t="str">
        <f t="shared" si="10"/>
        <v>·</v>
      </c>
      <c r="I23" s="33" t="str">
        <f t="shared" si="10"/>
        <v>·</v>
      </c>
      <c r="J23" s="33" t="str">
        <f t="shared" si="10"/>
        <v>·</v>
      </c>
      <c r="K23" s="33" t="str">
        <f t="shared" si="10"/>
        <v>·</v>
      </c>
      <c r="L23" s="33" t="str">
        <f t="shared" si="10"/>
        <v>·</v>
      </c>
      <c r="M23" s="33" t="str">
        <f t="shared" si="10"/>
        <v>·</v>
      </c>
      <c r="N23" s="33" t="str">
        <f t="shared" si="10"/>
        <v>·</v>
      </c>
      <c r="P23" s="37">
        <f t="shared" si="1"/>
        <v>0</v>
      </c>
      <c r="Q23" s="37">
        <f t="shared" si="2"/>
        <v>0</v>
      </c>
    </row>
    <row r="24" spans="2:17" x14ac:dyDescent="0.2">
      <c r="B24" s="36" t="str">
        <f>IF(10&gt;$C$12,"(inactive)","Iteration 10 — test fold 10")</f>
        <v>(inactive)</v>
      </c>
      <c r="C24" s="33" t="str">
        <f t="shared" ref="C24:N24" si="11">IF(10&gt;$C$12,"·",IF(C13=10,"Te","Tr"))</f>
        <v>·</v>
      </c>
      <c r="D24" s="33" t="str">
        <f t="shared" si="11"/>
        <v>·</v>
      </c>
      <c r="E24" s="33" t="str">
        <f t="shared" si="11"/>
        <v>·</v>
      </c>
      <c r="F24" s="33" t="str">
        <f t="shared" si="11"/>
        <v>·</v>
      </c>
      <c r="G24" s="33" t="str">
        <f t="shared" si="11"/>
        <v>·</v>
      </c>
      <c r="H24" s="33" t="str">
        <f t="shared" si="11"/>
        <v>·</v>
      </c>
      <c r="I24" s="33" t="str">
        <f t="shared" si="11"/>
        <v>·</v>
      </c>
      <c r="J24" s="33" t="str">
        <f t="shared" si="11"/>
        <v>·</v>
      </c>
      <c r="K24" s="33" t="str">
        <f t="shared" si="11"/>
        <v>·</v>
      </c>
      <c r="L24" s="33" t="str">
        <f t="shared" si="11"/>
        <v>·</v>
      </c>
      <c r="M24" s="33" t="str">
        <f t="shared" si="11"/>
        <v>·</v>
      </c>
      <c r="N24" s="33" t="str">
        <f t="shared" si="11"/>
        <v>·</v>
      </c>
      <c r="P24" s="37">
        <f t="shared" si="1"/>
        <v>0</v>
      </c>
      <c r="Q24" s="37">
        <f t="shared" si="2"/>
        <v>0</v>
      </c>
    </row>
    <row r="25" spans="2:17" x14ac:dyDescent="0.2">
      <c r="B25" s="36" t="str">
        <f>IF(11&gt;$C$12,"(inactive)","Iteration 11 — test fold 11")</f>
        <v>(inactive)</v>
      </c>
      <c r="C25" s="33" t="str">
        <f t="shared" ref="C25:N25" si="12">IF(11&gt;$C$12,"·",IF(C13=11,"Te","Tr"))</f>
        <v>·</v>
      </c>
      <c r="D25" s="33" t="str">
        <f t="shared" si="12"/>
        <v>·</v>
      </c>
      <c r="E25" s="33" t="str">
        <f t="shared" si="12"/>
        <v>·</v>
      </c>
      <c r="F25" s="33" t="str">
        <f t="shared" si="12"/>
        <v>·</v>
      </c>
      <c r="G25" s="33" t="str">
        <f t="shared" si="12"/>
        <v>·</v>
      </c>
      <c r="H25" s="33" t="str">
        <f t="shared" si="12"/>
        <v>·</v>
      </c>
      <c r="I25" s="33" t="str">
        <f t="shared" si="12"/>
        <v>·</v>
      </c>
      <c r="J25" s="33" t="str">
        <f t="shared" si="12"/>
        <v>·</v>
      </c>
      <c r="K25" s="33" t="str">
        <f t="shared" si="12"/>
        <v>·</v>
      </c>
      <c r="L25" s="33" t="str">
        <f t="shared" si="12"/>
        <v>·</v>
      </c>
      <c r="M25" s="33" t="str">
        <f t="shared" si="12"/>
        <v>·</v>
      </c>
      <c r="N25" s="33" t="str">
        <f t="shared" si="12"/>
        <v>·</v>
      </c>
      <c r="P25" s="37">
        <f t="shared" si="1"/>
        <v>0</v>
      </c>
      <c r="Q25" s="37">
        <f t="shared" si="2"/>
        <v>0</v>
      </c>
    </row>
    <row r="26" spans="2:17" x14ac:dyDescent="0.2">
      <c r="B26" s="36" t="str">
        <f>IF(12&gt;$C$12,"(inactive)","Iteration 12 — test fold 12")</f>
        <v>(inactive)</v>
      </c>
      <c r="C26" s="33" t="str">
        <f t="shared" ref="C26:N26" si="13">IF(12&gt;$C$12,"·",IF(C13=12,"Te","Tr"))</f>
        <v>·</v>
      </c>
      <c r="D26" s="33" t="str">
        <f t="shared" si="13"/>
        <v>·</v>
      </c>
      <c r="E26" s="33" t="str">
        <f t="shared" si="13"/>
        <v>·</v>
      </c>
      <c r="F26" s="33" t="str">
        <f t="shared" si="13"/>
        <v>·</v>
      </c>
      <c r="G26" s="33" t="str">
        <f t="shared" si="13"/>
        <v>·</v>
      </c>
      <c r="H26" s="33" t="str">
        <f t="shared" si="13"/>
        <v>·</v>
      </c>
      <c r="I26" s="33" t="str">
        <f t="shared" si="13"/>
        <v>·</v>
      </c>
      <c r="J26" s="33" t="str">
        <f t="shared" si="13"/>
        <v>·</v>
      </c>
      <c r="K26" s="33" t="str">
        <f t="shared" si="13"/>
        <v>·</v>
      </c>
      <c r="L26" s="33" t="str">
        <f t="shared" si="13"/>
        <v>·</v>
      </c>
      <c r="M26" s="33" t="str">
        <f t="shared" si="13"/>
        <v>·</v>
      </c>
      <c r="N26" s="33" t="str">
        <f t="shared" si="13"/>
        <v>·</v>
      </c>
      <c r="P26" s="37">
        <f t="shared" si="1"/>
        <v>0</v>
      </c>
      <c r="Q26" s="37">
        <f t="shared" si="2"/>
        <v>0</v>
      </c>
    </row>
    <row r="27" spans="2:17" ht="22.5" customHeight="1" x14ac:dyDescent="0.2">
      <c r="B27" s="68" t="s">
        <v>160</v>
      </c>
      <c r="C27" s="68"/>
      <c r="D27" s="68"/>
      <c r="E27" s="68"/>
      <c r="F27" s="68"/>
      <c r="G27" s="68"/>
      <c r="H27" s="68"/>
      <c r="I27" s="68"/>
      <c r="J27" s="68"/>
      <c r="K27" s="68"/>
      <c r="L27" s="68"/>
      <c r="M27" s="68"/>
      <c r="N27" s="68"/>
    </row>
    <row r="29" spans="2:17" ht="17" x14ac:dyDescent="0.2">
      <c r="B29" s="2" t="s">
        <v>161</v>
      </c>
    </row>
    <row r="30" spans="2:17" x14ac:dyDescent="0.2">
      <c r="B30" s="6"/>
      <c r="C30" s="30" t="s">
        <v>141</v>
      </c>
      <c r="D30" s="30" t="s">
        <v>142</v>
      </c>
      <c r="E30" s="30" t="s">
        <v>143</v>
      </c>
      <c r="F30" s="30" t="s">
        <v>144</v>
      </c>
      <c r="G30" s="30" t="s">
        <v>145</v>
      </c>
      <c r="H30" s="30" t="s">
        <v>146</v>
      </c>
      <c r="I30" s="30" t="s">
        <v>147</v>
      </c>
      <c r="J30" s="30" t="s">
        <v>148</v>
      </c>
      <c r="K30" s="30" t="s">
        <v>149</v>
      </c>
      <c r="L30" s="30" t="s">
        <v>150</v>
      </c>
      <c r="M30" s="30" t="s">
        <v>151</v>
      </c>
      <c r="N30" s="30" t="s">
        <v>152</v>
      </c>
    </row>
    <row r="31" spans="2:17" x14ac:dyDescent="0.2">
      <c r="B31" s="36" t="s">
        <v>162</v>
      </c>
      <c r="C31" s="33" t="s">
        <v>163</v>
      </c>
      <c r="D31" s="33" t="s">
        <v>163</v>
      </c>
      <c r="E31" s="33" t="s">
        <v>164</v>
      </c>
      <c r="F31" s="33" t="s">
        <v>164</v>
      </c>
      <c r="G31" s="33" t="s">
        <v>165</v>
      </c>
      <c r="H31" s="33" t="s">
        <v>165</v>
      </c>
      <c r="I31" s="33" t="s">
        <v>165</v>
      </c>
      <c r="J31" s="33" t="s">
        <v>165</v>
      </c>
      <c r="K31" s="33" t="s">
        <v>165</v>
      </c>
      <c r="L31" s="33" t="s">
        <v>165</v>
      </c>
      <c r="M31" s="33" t="s">
        <v>165</v>
      </c>
      <c r="N31" s="33" t="s">
        <v>165</v>
      </c>
    </row>
    <row r="32" spans="2:17" x14ac:dyDescent="0.2">
      <c r="B32" s="36" t="s">
        <v>166</v>
      </c>
      <c r="C32" s="33" t="s">
        <v>163</v>
      </c>
      <c r="D32" s="33" t="s">
        <v>163</v>
      </c>
      <c r="E32" s="33" t="s">
        <v>163</v>
      </c>
      <c r="F32" s="33" t="s">
        <v>163</v>
      </c>
      <c r="G32" s="33" t="s">
        <v>164</v>
      </c>
      <c r="H32" s="33" t="s">
        <v>164</v>
      </c>
      <c r="I32" s="33" t="s">
        <v>165</v>
      </c>
      <c r="J32" s="33" t="s">
        <v>165</v>
      </c>
      <c r="K32" s="33" t="s">
        <v>165</v>
      </c>
      <c r="L32" s="33" t="s">
        <v>165</v>
      </c>
      <c r="M32" s="33" t="s">
        <v>165</v>
      </c>
      <c r="N32" s="33" t="s">
        <v>165</v>
      </c>
    </row>
    <row r="33" spans="2:14" x14ac:dyDescent="0.2">
      <c r="B33" s="36" t="s">
        <v>167</v>
      </c>
      <c r="C33" s="33" t="s">
        <v>163</v>
      </c>
      <c r="D33" s="33" t="s">
        <v>163</v>
      </c>
      <c r="E33" s="33" t="s">
        <v>163</v>
      </c>
      <c r="F33" s="33" t="s">
        <v>163</v>
      </c>
      <c r="G33" s="33" t="s">
        <v>163</v>
      </c>
      <c r="H33" s="33" t="s">
        <v>163</v>
      </c>
      <c r="I33" s="33" t="s">
        <v>164</v>
      </c>
      <c r="J33" s="33" t="s">
        <v>164</v>
      </c>
      <c r="K33" s="33" t="s">
        <v>165</v>
      </c>
      <c r="L33" s="33" t="s">
        <v>165</v>
      </c>
      <c r="M33" s="33" t="s">
        <v>165</v>
      </c>
      <c r="N33" s="33" t="s">
        <v>165</v>
      </c>
    </row>
    <row r="34" spans="2:14" x14ac:dyDescent="0.2">
      <c r="B34" s="36" t="s">
        <v>168</v>
      </c>
      <c r="C34" s="33" t="s">
        <v>163</v>
      </c>
      <c r="D34" s="33" t="s">
        <v>163</v>
      </c>
      <c r="E34" s="33" t="s">
        <v>163</v>
      </c>
      <c r="F34" s="33" t="s">
        <v>163</v>
      </c>
      <c r="G34" s="33" t="s">
        <v>163</v>
      </c>
      <c r="H34" s="33" t="s">
        <v>163</v>
      </c>
      <c r="I34" s="33" t="s">
        <v>163</v>
      </c>
      <c r="J34" s="33" t="s">
        <v>163</v>
      </c>
      <c r="K34" s="33" t="s">
        <v>164</v>
      </c>
      <c r="L34" s="33" t="s">
        <v>164</v>
      </c>
      <c r="M34" s="33" t="s">
        <v>165</v>
      </c>
      <c r="N34" s="33" t="s">
        <v>165</v>
      </c>
    </row>
    <row r="35" spans="2:14" x14ac:dyDescent="0.2">
      <c r="B35" s="36" t="s">
        <v>169</v>
      </c>
      <c r="C35" s="33" t="s">
        <v>163</v>
      </c>
      <c r="D35" s="33" t="s">
        <v>163</v>
      </c>
      <c r="E35" s="33" t="s">
        <v>163</v>
      </c>
      <c r="F35" s="33" t="s">
        <v>163</v>
      </c>
      <c r="G35" s="33" t="s">
        <v>163</v>
      </c>
      <c r="H35" s="33" t="s">
        <v>163</v>
      </c>
      <c r="I35" s="33" t="s">
        <v>163</v>
      </c>
      <c r="J35" s="33" t="s">
        <v>163</v>
      </c>
      <c r="K35" s="33" t="s">
        <v>163</v>
      </c>
      <c r="L35" s="33" t="s">
        <v>163</v>
      </c>
      <c r="M35" s="33" t="s">
        <v>164</v>
      </c>
      <c r="N35" s="33" t="s">
        <v>164</v>
      </c>
    </row>
    <row r="36" spans="2:14" ht="15" customHeight="1" x14ac:dyDescent="0.2">
      <c r="B36" s="68" t="s">
        <v>170</v>
      </c>
      <c r="C36" s="68"/>
      <c r="D36" s="68"/>
      <c r="E36" s="68"/>
      <c r="F36" s="68"/>
      <c r="G36" s="68"/>
      <c r="H36" s="68"/>
      <c r="I36" s="68"/>
      <c r="J36" s="68"/>
      <c r="K36" s="68"/>
      <c r="L36" s="68"/>
      <c r="M36" s="68"/>
      <c r="N36" s="68"/>
    </row>
    <row r="38" spans="2:14" ht="22.5" customHeight="1" x14ac:dyDescent="0.2">
      <c r="B38" s="28" t="s">
        <v>171</v>
      </c>
      <c r="C38" s="81" t="s">
        <v>172</v>
      </c>
      <c r="D38" s="81"/>
      <c r="E38" s="82" t="s">
        <v>173</v>
      </c>
      <c r="F38" s="82"/>
      <c r="G38" s="83" t="s">
        <v>174</v>
      </c>
      <c r="H38" s="83"/>
      <c r="I38" s="84" t="s">
        <v>175</v>
      </c>
      <c r="J38" s="84"/>
    </row>
  </sheetData>
  <mergeCells count="10">
    <mergeCell ref="B2:Q2"/>
    <mergeCell ref="B3:Q3"/>
    <mergeCell ref="D6:F6"/>
    <mergeCell ref="D12:H12"/>
    <mergeCell ref="B27:N27"/>
    <mergeCell ref="B36:N36"/>
    <mergeCell ref="C38:D38"/>
    <mergeCell ref="E38:F38"/>
    <mergeCell ref="G38:H38"/>
    <mergeCell ref="I38:J38"/>
  </mergeCells>
  <conditionalFormatting sqref="C8:N8">
    <cfRule type="cellIs" dxfId="11" priority="2" operator="equal">
      <formula>"Te"</formula>
    </cfRule>
    <cfRule type="cellIs" dxfId="10" priority="3" operator="equal">
      <formula>"Tr"</formula>
    </cfRule>
    <cfRule type="cellIs" dxfId="9" priority="4" operator="equal">
      <formula>"Va"</formula>
    </cfRule>
    <cfRule type="cellIs" dxfId="8" priority="5" operator="equal">
      <formula>"·"</formula>
    </cfRule>
  </conditionalFormatting>
  <conditionalFormatting sqref="C15:N26">
    <cfRule type="cellIs" dxfId="7" priority="6" operator="equal">
      <formula>"Te"</formula>
    </cfRule>
    <cfRule type="cellIs" dxfId="6" priority="7" operator="equal">
      <formula>"Tr"</formula>
    </cfRule>
    <cfRule type="cellIs" dxfId="5" priority="8" operator="equal">
      <formula>"Va"</formula>
    </cfRule>
    <cfRule type="cellIs" dxfId="4" priority="9" operator="equal">
      <formula>"·"</formula>
    </cfRule>
  </conditionalFormatting>
  <conditionalFormatting sqref="C31:N35">
    <cfRule type="cellIs" dxfId="3" priority="10" operator="equal">
      <formula>"Te"</formula>
    </cfRule>
    <cfRule type="cellIs" dxfId="2" priority="11" operator="equal">
      <formula>"Tr"</formula>
    </cfRule>
    <cfRule type="cellIs" dxfId="1" priority="12" operator="equal">
      <formula>"Va"</formula>
    </cfRule>
    <cfRule type="cellIs" dxfId="0" priority="13" operator="equal">
      <formula>"·"</formula>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vt:lpstr>
      <vt:lpstr>Simulator (manual)</vt:lpstr>
      <vt:lpstr>Threshold Simulator</vt:lpstr>
      <vt:lpstr>Data Splitting Methods</vt:lpstr>
      <vt:lpstr>Split Visualizer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2026-08-10T15:12:46Z</dcterms:created>
  <dcterms:modified xsi:type="dcterms:W3CDTF">2026-09-11T16:46:45Z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5fe8dcb-6147-4658-ac84-b2106d8ef0ca_Enabled">
    <vt:lpwstr>true</vt:lpwstr>
  </property>
  <property fmtid="{D5CDD505-2E9C-101B-9397-08002B2CF9AE}" pid="3" name="MSIP_Label_85fe8dcb-6147-4658-ac84-b2106d8ef0ca_SetDate">
    <vt:lpwstr>2026-08-10T15:28:40Z</vt:lpwstr>
  </property>
  <property fmtid="{D5CDD505-2E9C-101B-9397-08002B2CF9AE}" pid="4" name="MSIP_Label_85fe8dcb-6147-4658-ac84-b2106d8ef0ca_Method">
    <vt:lpwstr>Privileged</vt:lpwstr>
  </property>
  <property fmtid="{D5CDD505-2E9C-101B-9397-08002B2CF9AE}" pid="5" name="MSIP_Label_85fe8dcb-6147-4658-ac84-b2106d8ef0ca_Name">
    <vt:lpwstr>Public</vt:lpwstr>
  </property>
  <property fmtid="{D5CDD505-2E9C-101B-9397-08002B2CF9AE}" pid="6" name="MSIP_Label_85fe8dcb-6147-4658-ac84-b2106d8ef0ca_SiteId">
    <vt:lpwstr>e9e12402-b3ab-458f-a106-d7b5007b75fc</vt:lpwstr>
  </property>
  <property fmtid="{D5CDD505-2E9C-101B-9397-08002B2CF9AE}" pid="7" name="MSIP_Label_85fe8dcb-6147-4658-ac84-b2106d8ef0ca_ActionId">
    <vt:lpwstr>b73e1a12-e7d6-4d8c-9e58-2eae3a308480</vt:lpwstr>
  </property>
  <property fmtid="{D5CDD505-2E9C-101B-9397-08002B2CF9AE}" pid="8" name="MSIP_Label_85fe8dcb-6147-4658-ac84-b2106d8ef0ca_ContentBits">
    <vt:lpwstr>0</vt:lpwstr>
  </property>
  <property fmtid="{D5CDD505-2E9C-101B-9397-08002B2CF9AE}" pid="9" name="MSIP_Label_85fe8dcb-6147-4658-ac84-b2106d8ef0ca_Tag">
    <vt:lpwstr>10, 0, 1, 1</vt:lpwstr>
  </property>
</Properties>
</file>